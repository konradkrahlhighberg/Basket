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highberggroup-my.sharepoint.com/personal/konrad_krahl_highberg_com/Documents/Desktop/Beck/Data/"/>
    </mc:Choice>
  </mc:AlternateContent>
  <xr:revisionPtr revIDLastSave="1" documentId="8_{E90F86FA-6C5F-48C4-942B-69F9290771DF}" xr6:coauthVersionLast="47" xr6:coauthVersionMax="47" xr10:uidLastSave="{534568A5-B867-4842-A1E4-9ACC43244CCC}"/>
  <bookViews>
    <workbookView xWindow="0" yWindow="660" windowWidth="23260" windowHeight="13900" firstSheet="1" activeTab="1" xr2:uid="{BF99446E-7161-4BE5-9603-86E4948B4C62}"/>
  </bookViews>
  <sheets>
    <sheet name="Diverses" sheetId="1" r:id="rId1"/>
    <sheet name="beck-online Module" sheetId="2" r:id="rId2"/>
    <sheet name="Clustering 2025" sheetId="4" r:id="rId3"/>
    <sheet name="Modul-Strukturierung" sheetId="5" r:id="rId4"/>
  </sheets>
  <externalReferences>
    <externalReference r:id="rId5"/>
  </externalReferences>
  <definedNames>
    <definedName name="_xlnm._FilterDatabase" localSheetId="1" hidden="1">'beck-online Module'!$A$1:$H$895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0" i="2" l="1"/>
  <c r="A380" i="2"/>
  <c r="C872" i="2"/>
  <c r="A872" i="2"/>
  <c r="C871" i="2"/>
  <c r="A871" i="2"/>
  <c r="C870" i="2"/>
  <c r="A870" i="2"/>
  <c r="C869" i="2"/>
  <c r="A869" i="2"/>
  <c r="C868" i="2"/>
  <c r="A868" i="2"/>
  <c r="C867" i="2"/>
  <c r="A867" i="2"/>
  <c r="C866" i="2"/>
  <c r="A866" i="2"/>
  <c r="C865" i="2"/>
  <c r="A865" i="2"/>
  <c r="C864" i="2"/>
  <c r="A864" i="2"/>
  <c r="C863" i="2"/>
  <c r="A863" i="2"/>
  <c r="C862" i="2"/>
  <c r="A862" i="2"/>
  <c r="C861" i="2"/>
  <c r="A861" i="2"/>
  <c r="C860" i="2"/>
  <c r="A860" i="2"/>
  <c r="C859" i="2"/>
  <c r="A859" i="2"/>
  <c r="C858" i="2"/>
  <c r="A858" i="2"/>
  <c r="C857" i="2"/>
  <c r="A857" i="2"/>
  <c r="C856" i="2"/>
  <c r="A856" i="2"/>
  <c r="C855" i="2"/>
  <c r="A855" i="2"/>
  <c r="C854" i="2"/>
  <c r="A854" i="2"/>
  <c r="C853" i="2"/>
  <c r="A853" i="2"/>
  <c r="C852" i="2"/>
  <c r="A852" i="2"/>
  <c r="C851" i="2"/>
  <c r="A851" i="2"/>
  <c r="C850" i="2"/>
  <c r="A850" i="2"/>
  <c r="C849" i="2"/>
  <c r="A849" i="2"/>
  <c r="C216" i="2"/>
  <c r="A216" i="2"/>
  <c r="C848" i="2"/>
  <c r="A848" i="2"/>
  <c r="C847" i="2"/>
  <c r="A847" i="2"/>
  <c r="C846" i="2"/>
  <c r="A846" i="2"/>
  <c r="C845" i="2"/>
  <c r="A845" i="2"/>
  <c r="C815" i="2"/>
  <c r="C814" i="2"/>
  <c r="C813" i="2"/>
  <c r="C812" i="2"/>
  <c r="C811" i="2"/>
  <c r="C810" i="2"/>
  <c r="C809" i="2"/>
  <c r="C808" i="2"/>
  <c r="C807" i="2"/>
  <c r="C806" i="2"/>
  <c r="C805" i="2"/>
  <c r="C312" i="2"/>
  <c r="C804" i="2"/>
  <c r="C803" i="2"/>
  <c r="C802" i="2"/>
  <c r="C801" i="2"/>
  <c r="C800" i="2"/>
  <c r="C267" i="2"/>
  <c r="C281" i="2"/>
  <c r="C799" i="2"/>
  <c r="C798" i="2"/>
  <c r="C797" i="2"/>
  <c r="C796" i="2"/>
  <c r="C39" i="2"/>
  <c r="C215" i="2"/>
  <c r="C265" i="2"/>
  <c r="C200" i="2"/>
  <c r="C53" i="2"/>
  <c r="C372" i="2"/>
  <c r="C795" i="2"/>
  <c r="C794" i="2"/>
  <c r="C793" i="2"/>
  <c r="C792" i="2"/>
  <c r="C791" i="2"/>
  <c r="C99" i="2"/>
  <c r="C790" i="2"/>
  <c r="C789" i="2"/>
  <c r="C788" i="2"/>
  <c r="C787" i="2"/>
  <c r="C786" i="2"/>
  <c r="C785" i="2"/>
  <c r="C784" i="2"/>
  <c r="C783" i="2"/>
  <c r="C782" i="2"/>
  <c r="C781" i="2"/>
  <c r="C352" i="2"/>
  <c r="C780" i="2"/>
  <c r="C779" i="2"/>
  <c r="C778" i="2"/>
  <c r="C777" i="2"/>
  <c r="C776" i="2"/>
  <c r="C775" i="2"/>
  <c r="C774" i="2"/>
  <c r="C773" i="2"/>
  <c r="C772" i="2"/>
  <c r="C89" i="2"/>
  <c r="C50" i="2"/>
  <c r="C169" i="2"/>
  <c r="C180" i="2"/>
  <c r="C135" i="2"/>
  <c r="C201" i="2"/>
  <c r="F8" i="1" l="1"/>
  <c r="E8" i="1"/>
  <c r="D8" i="1"/>
  <c r="C8" i="1"/>
  <c r="F12" i="1"/>
  <c r="E12" i="1"/>
  <c r="D12" i="1"/>
  <c r="C12" i="1"/>
  <c r="B12" i="1"/>
  <c r="B8" i="1"/>
  <c r="F19" i="1"/>
  <c r="E19" i="1"/>
  <c r="D19" i="1"/>
  <c r="C19" i="1"/>
  <c r="B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Rothner, Angelika</author>
  </authors>
  <commentList>
    <comment ref="C171" authorId="0" shapeId="0" xr:uid="{15F1F634-EB24-457B-9984-75F538B0663B}">
      <text>
        <r>
          <rPr>
            <b/>
            <sz val="9"/>
            <color indexed="81"/>
            <rFont val="Segoe UI"/>
            <family val="2"/>
          </rPr>
          <t>Rothner, Angelika:</t>
        </r>
        <r>
          <rPr>
            <sz val="9"/>
            <color indexed="81"/>
            <rFont val="Segoe UI"/>
            <family val="2"/>
          </rPr>
          <t xml:space="preserve">
Modul wurde 2023 von Premium in Optimum umbenannt, Kürzel unverändert.</t>
        </r>
      </text>
    </comment>
    <comment ref="C219" authorId="0" shapeId="0" xr:uid="{F7D06C7F-4879-4A27-8F81-45412EEE000C}">
      <text>
        <r>
          <rPr>
            <b/>
            <sz val="9"/>
            <color indexed="81"/>
            <rFont val="Segoe UI"/>
            <family val="2"/>
          </rPr>
          <t>Rothner, Angelika:</t>
        </r>
        <r>
          <rPr>
            <sz val="9"/>
            <color indexed="81"/>
            <rFont val="Segoe UI"/>
            <family val="2"/>
          </rPr>
          <t xml:space="preserve">
Modul wurde 2023 von Plus in Premium umbenannt, Kürzel unverändert.</t>
        </r>
      </text>
    </comment>
    <comment ref="A531" authorId="0" shapeId="0" xr:uid="{EE5AACB8-7CE5-44F4-B49A-7F56A023B28F}">
      <text>
        <r>
          <rPr>
            <b/>
            <sz val="9"/>
            <color indexed="81"/>
            <rFont val="Segoe UI"/>
            <family val="2"/>
          </rPr>
          <t>Rothner, Angelika:</t>
        </r>
        <r>
          <rPr>
            <sz val="9"/>
            <color indexed="81"/>
            <rFont val="Segoe UI"/>
            <family val="2"/>
          </rPr>
          <t xml:space="preserve">
jetzt 500688 ELAGES</t>
        </r>
      </text>
    </comment>
  </commentList>
</comments>
</file>

<file path=xl/sharedStrings.xml><?xml version="1.0" encoding="utf-8"?>
<sst xmlns="http://schemas.openxmlformats.org/spreadsheetml/2006/main" count="5564" uniqueCount="2027">
  <si>
    <t>GuV - Umsatzentwicklung nach Geschäftsbereich</t>
  </si>
  <si>
    <t>vorl</t>
  </si>
  <si>
    <t>TEUR</t>
  </si>
  <si>
    <t>Anmerkung</t>
  </si>
  <si>
    <t>Ansprechpartner</t>
  </si>
  <si>
    <t>Frage</t>
  </si>
  <si>
    <t>RSW Buch</t>
  </si>
  <si>
    <t>RSW Zeitschriften</t>
  </si>
  <si>
    <t>Tobias Freudenberg</t>
  </si>
  <si>
    <t>kann man das weiter runterbrechen?</t>
  </si>
  <si>
    <t>LSW Buch und Zeitschriften</t>
  </si>
  <si>
    <t>beck-online</t>
  </si>
  <si>
    <t>GuV-Sicht: abgegrenzt!</t>
  </si>
  <si>
    <t>Stephan Lahl</t>
  </si>
  <si>
    <t>beck-online: davon Vahlen</t>
  </si>
  <si>
    <t>beck-noxtua</t>
  </si>
  <si>
    <t>Lisa Ritz</t>
  </si>
  <si>
    <t>CD/DVD</t>
  </si>
  <si>
    <t>Beck Akademie</t>
  </si>
  <si>
    <t>Markus Rackl</t>
  </si>
  <si>
    <t>nochmal konkretere Zahlen bei Rene erfragen</t>
  </si>
  <si>
    <t>C.H.Beck</t>
  </si>
  <si>
    <t>Wirtschaft</t>
  </si>
  <si>
    <t>Recht Steuern</t>
  </si>
  <si>
    <t>in beck-online oben enthalten</t>
  </si>
  <si>
    <t>Sonstiges</t>
  </si>
  <si>
    <t>Vahlen</t>
  </si>
  <si>
    <t>beck-online im Detail</t>
  </si>
  <si>
    <t>Umsatz auf Werk-Ebene</t>
  </si>
  <si>
    <t>Titelsicht: nicht abgegrenzt! Daher Abweichung zu oben gezeigtem Umsatz</t>
  </si>
  <si>
    <t>davon BeckOK</t>
  </si>
  <si>
    <t>davon BeckOGK</t>
  </si>
  <si>
    <t>davon BeckOF</t>
  </si>
  <si>
    <t>davon BeckRS</t>
  </si>
  <si>
    <t>davon Fachdienste</t>
  </si>
  <si>
    <t>davon umsatzrelevante Rechner</t>
  </si>
  <si>
    <t>davon fremde Inhalte</t>
  </si>
  <si>
    <t>nach Darstellungsform:</t>
  </si>
  <si>
    <t>Kommentar</t>
  </si>
  <si>
    <t>Zeitschrift</t>
  </si>
  <si>
    <t>Entscheidungssamml./Fundstellenverz.</t>
  </si>
  <si>
    <t>Handbuch</t>
  </si>
  <si>
    <t>Formularbuch</t>
  </si>
  <si>
    <t>Sonstige</t>
  </si>
  <si>
    <t>Materialiensammlung</t>
  </si>
  <si>
    <t>Einzeldarstellung</t>
  </si>
  <si>
    <t>Ratgeber</t>
  </si>
  <si>
    <t>Gesetzestext</t>
  </si>
  <si>
    <t>Lehrbuch/Studienliteratur</t>
  </si>
  <si>
    <t>Lexikon/Wörterbuch</t>
  </si>
  <si>
    <t>Tabelle/Register/Kartei</t>
  </si>
  <si>
    <t>Festschriften</t>
  </si>
  <si>
    <t>Referendarliteratur</t>
  </si>
  <si>
    <t>Apps</t>
  </si>
  <si>
    <t>nach Verlag:</t>
  </si>
  <si>
    <t>C.H.BECK</t>
  </si>
  <si>
    <t>C.H.BECK-Gruppe</t>
  </si>
  <si>
    <t>Fremdverlage</t>
  </si>
  <si>
    <t>nach Rechtsgebiet:</t>
  </si>
  <si>
    <t>Steuer- und Bilanzrecht</t>
  </si>
  <si>
    <t>Strafrecht/Verkehrsrecht</t>
  </si>
  <si>
    <t>Zivilverfahren/Insolvenzrecht/Notarrecht</t>
  </si>
  <si>
    <t>Arbeitsrecht</t>
  </si>
  <si>
    <t>Handels- Gesellschafts- und Wirtschaftsrecht</t>
  </si>
  <si>
    <t>Öffentliches Recht</t>
  </si>
  <si>
    <t>Bürgerliches Recht</t>
  </si>
  <si>
    <t>Betriebswirtschaft</t>
  </si>
  <si>
    <t>Sonstige Rechtsthemen</t>
  </si>
  <si>
    <t>Sozialrecht</t>
  </si>
  <si>
    <t>Europarecht</t>
  </si>
  <si>
    <t>Umsatz Chatbooks</t>
  </si>
  <si>
    <t>Modul-Nr.</t>
  </si>
  <si>
    <t>Kürzel</t>
  </si>
  <si>
    <t>Bezeichnung</t>
  </si>
  <si>
    <t>BOPREMNEU</t>
  </si>
  <si>
    <t>PREMIUM</t>
  </si>
  <si>
    <t>RVBUND</t>
  </si>
  <si>
    <t>beck-online Rahmenvertrag Bund</t>
  </si>
  <si>
    <t>BOSTROPT</t>
  </si>
  <si>
    <t>Fachmodul Steuerberater OPTIMUM (BOSTROPT)</t>
  </si>
  <si>
    <t>UNI1</t>
  </si>
  <si>
    <t>Hochschulmodul</t>
  </si>
  <si>
    <t>JUOPT24</t>
  </si>
  <si>
    <t>Justiz OPTIMUM 2024</t>
  </si>
  <si>
    <t>BOHGROPT</t>
  </si>
  <si>
    <t>Fachmodul Handels- und Gesellschaftsrecht OPTIMUM (BOHGROPT)</t>
  </si>
  <si>
    <t>BOARBOPT</t>
  </si>
  <si>
    <t xml:space="preserve">Fachmodul Arbeitsrecht OPTIMUM </t>
  </si>
  <si>
    <t>BOZIVP</t>
  </si>
  <si>
    <t>Fachmodul Zivilrecht PLUS (BOZIVP)</t>
  </si>
  <si>
    <t>BOZIVPREM</t>
  </si>
  <si>
    <t>Fachmodul Zivilrecht PREMIUM (BOZIVPREM)</t>
  </si>
  <si>
    <t>BOARBPREM</t>
  </si>
  <si>
    <t>Fachmodul Arbeitsrecht PREMIUM (BOARBPREM)</t>
  </si>
  <si>
    <t>BODSPREM</t>
  </si>
  <si>
    <t>Fachmodul Datenschutz- und Informationsfreiheitsrecht PREMIUM</t>
  </si>
  <si>
    <t>BONOPREM</t>
  </si>
  <si>
    <t xml:space="preserve">NomosOnline PREMIUM </t>
  </si>
  <si>
    <t>BOSTRINT</t>
  </si>
  <si>
    <t>Fachmodul Steuerrecht PREMIUM International (BOSTRINT)</t>
  </si>
  <si>
    <t>BOHGRPRN</t>
  </si>
  <si>
    <t>Fachmodul Handels- und Gesellschaftsrecht PREMIUM (BOHGRPRN)</t>
  </si>
  <si>
    <t>AWZIV</t>
  </si>
  <si>
    <t xml:space="preserve">Anwalt PREMIUM Grundmodul Zivilrecht (AWZIV) inkl. zwei Ergänzungsmodule </t>
  </si>
  <si>
    <t>KOOGK</t>
  </si>
  <si>
    <t>BeckOGK GROSSKOMMENTAR zum Zivilrecht</t>
  </si>
  <si>
    <t>BOARBP</t>
  </si>
  <si>
    <t>Fachmodul Arbeitsrecht PLUS (BOARBP)</t>
  </si>
  <si>
    <t>BOSOZOPT</t>
  </si>
  <si>
    <t>Sozialrecht OPTIMUM</t>
  </si>
  <si>
    <t>BOSTRPREM</t>
  </si>
  <si>
    <t>Fachmodul Steuerrecht PREMIUM (BOSTRPREM)</t>
  </si>
  <si>
    <t>BONOTP</t>
  </si>
  <si>
    <t>Fachmodul Notarrecht PLUS (BONOTP)</t>
  </si>
  <si>
    <t>BOHGRP</t>
  </si>
  <si>
    <t>Fachmodul Handels- und Gesellschaftsrecht PLUS (BOHGRP)</t>
  </si>
  <si>
    <t>BOSTPREM</t>
  </si>
  <si>
    <t>Fachmodul Strafrecht PREMIUM (BOSTPREM)</t>
  </si>
  <si>
    <t>IDWWP</t>
  </si>
  <si>
    <t>IDW Wirtschaftsprüfung</t>
  </si>
  <si>
    <t>BOBRPREM</t>
  </si>
  <si>
    <t>Fachmodul Bank- und Kapitalmarktrecht PREMIUM</t>
  </si>
  <si>
    <t>BONOTPREM</t>
  </si>
  <si>
    <t xml:space="preserve">Fachmodul Notarrecht PREMIUM </t>
  </si>
  <si>
    <t>BOÖBAUP</t>
  </si>
  <si>
    <t>Fachmodul Öffentliches Baurecht PLUS (BOÖBAUP)</t>
  </si>
  <si>
    <t>BOVWPREM</t>
  </si>
  <si>
    <t>Fachmodul Verwaltungsrecht PREMIUM</t>
  </si>
  <si>
    <t>BOBIPREM</t>
  </si>
  <si>
    <t>Fachmodul  Bilanzrecht PREMIUM (BOBIPREM)</t>
  </si>
  <si>
    <t>IFAM</t>
  </si>
  <si>
    <t>Gutdeutsch, Familienrechtliche Berechnungen Online (IFAM)</t>
  </si>
  <si>
    <t>BOGRSPRN</t>
  </si>
  <si>
    <t>Fachmodul Gewerblicher Rechtsschutz PREMIUM</t>
  </si>
  <si>
    <t>BOENPREM</t>
  </si>
  <si>
    <t>Energierecht PREMIUM</t>
  </si>
  <si>
    <t>BOSTRP</t>
  </si>
  <si>
    <t xml:space="preserve">Fachmodul Steuerrecht PLUS (BOSTRP) </t>
  </si>
  <si>
    <t>BOVGRPREM</t>
  </si>
  <si>
    <t>Fachmodul Vergaberecht PREMIUM</t>
  </si>
  <si>
    <t>BOMMRPREM</t>
  </si>
  <si>
    <t>beck-online Fachmodul IT- und Multimediarecht PREMIUM</t>
  </si>
  <si>
    <t>BOMWPREM</t>
  </si>
  <si>
    <t>Fachmodul Miet- und WEG-Recht PREMIUM (BOMWPREM)</t>
  </si>
  <si>
    <t>BOGRSPN2</t>
  </si>
  <si>
    <t xml:space="preserve">Fachmodul  Gewerblicher Rechtsschutz PLUS </t>
  </si>
  <si>
    <t>BOVWP</t>
  </si>
  <si>
    <t>Fachmodul  Verwaltungsrecht PLUS (BOVWP)</t>
  </si>
  <si>
    <t>BOBROPT</t>
  </si>
  <si>
    <t>BOVERFRPREM</t>
  </si>
  <si>
    <t>Fachmodul VerfassungsR Prem</t>
  </si>
  <si>
    <t>BODSP</t>
  </si>
  <si>
    <t>Fachmodul Datenschutz- und Informationsfreiheitsrecht PLUS</t>
  </si>
  <si>
    <t>BOKARTP</t>
  </si>
  <si>
    <t>Fachmodul Kartellrecht PLUS</t>
  </si>
  <si>
    <t>BOVWOPT</t>
  </si>
  <si>
    <t>Verwaltungsrecht OPTIMUM</t>
  </si>
  <si>
    <t>BOSOZPRN</t>
  </si>
  <si>
    <t>Sozialrecht PREMIUM (Neu)</t>
  </si>
  <si>
    <t>BOVERKPREM</t>
  </si>
  <si>
    <t>Fachmodul Verkehrsrecht PREMIUM (BOVERKPREM)</t>
  </si>
  <si>
    <t>BOÖBAUPREM</t>
  </si>
  <si>
    <t>Öffentliches Baurecht PREMIUM</t>
  </si>
  <si>
    <t>PDKGES</t>
  </si>
  <si>
    <t>Beck-KOMMUNALPRAXIS PREMIUM (alle Landesausgaben)</t>
  </si>
  <si>
    <t>BOSTOPT</t>
  </si>
  <si>
    <t>Fachmodul Strafrecht OPTIMUM</t>
  </si>
  <si>
    <t>BONOARB</t>
  </si>
  <si>
    <t>NomosOnline Arbeitsrecht (BONOARB)</t>
  </si>
  <si>
    <t>BOZIVOPT</t>
  </si>
  <si>
    <t>BOVERSOPT</t>
  </si>
  <si>
    <t>Versicherungsrecht OPTIMUM</t>
  </si>
  <si>
    <t>BECKVFPREM</t>
  </si>
  <si>
    <t>Vertragsformulare PREMIUM</t>
  </si>
  <si>
    <t>BOCPLPREM</t>
  </si>
  <si>
    <t>BOMGRPREM</t>
  </si>
  <si>
    <t>Fachmodul Medizin- und Gesundheitsrecht PREMIUM</t>
  </si>
  <si>
    <t>BOINSRPREM</t>
  </si>
  <si>
    <t>Fachmodul Insolvenzrecht PREMIUM (BOINSRPREM)</t>
  </si>
  <si>
    <t>BOVERSPREM</t>
  </si>
  <si>
    <t>Fachmodul Versicherungsrecht PREMIUM (BOVERSPREM)</t>
  </si>
  <si>
    <t>BOZIVPRINT</t>
  </si>
  <si>
    <t>Fachmodul Zivilrecht PREMIUM International (BOZIVPRINT)</t>
  </si>
  <si>
    <t>BMSTR</t>
  </si>
  <si>
    <t>Steuerrecht Grundmodul</t>
  </si>
  <si>
    <t>BOLMRP</t>
  </si>
  <si>
    <t>Fachmodul Lebensmittelrecht PLUS (BOLMRP)</t>
  </si>
  <si>
    <t>BMBIR</t>
  </si>
  <si>
    <t>Bilanzrecht Grundmodul</t>
  </si>
  <si>
    <t>BOFAMPRN</t>
  </si>
  <si>
    <t>Familienrecht PREMIUM (NEU)</t>
  </si>
  <si>
    <t>BOBAUPREM</t>
  </si>
  <si>
    <t>Fachmodul Privates Baurecht PREMIUM</t>
  </si>
  <si>
    <t>BOBERP</t>
  </si>
  <si>
    <t>Fachmodul Beamtenrecht PLUS</t>
  </si>
  <si>
    <t>BOÖWIP</t>
  </si>
  <si>
    <t>Fachmodul Öffentliches Wirtschaftsrecht PLUS (BOÖWIP)</t>
  </si>
  <si>
    <t>BOBIP</t>
  </si>
  <si>
    <t>Fachmodul Bilanzrecht PLUS (BOBIP)</t>
  </si>
  <si>
    <t>BOMWP</t>
  </si>
  <si>
    <t>Fachmodul Miet- und WEG-Recht PLUS (BOMWP)</t>
  </si>
  <si>
    <t>BOMMRP</t>
  </si>
  <si>
    <t>beck-online Fachmodul IT- und Multimediarecht PLUS (BOMMRP)</t>
  </si>
  <si>
    <t>PDKNDS</t>
  </si>
  <si>
    <t>Beck-KOMMUNALPRAXIS Niedersachsen PLUS (PdK-NDS)</t>
  </si>
  <si>
    <t>BOCPLP</t>
  </si>
  <si>
    <t>beck-online Fachmodul Compliance PLUS (BOCPLP)</t>
  </si>
  <si>
    <t>BOFAMP</t>
  </si>
  <si>
    <t>Fachmodul Familienrecht PLUS (BOFAMP)</t>
  </si>
  <si>
    <t>BOTVOEDP</t>
  </si>
  <si>
    <t>Fachmodul Öffentliches Tarifrecht PLUS (BOTVOEDP)</t>
  </si>
  <si>
    <t>BOAAP</t>
  </si>
  <si>
    <t>Fachmodul Ausländer- und Migrationsrecht PLUS (BOAAP)</t>
  </si>
  <si>
    <t>BONOTOPT</t>
  </si>
  <si>
    <t>Fachmodul Notarrecht OPTIMUM</t>
  </si>
  <si>
    <t>KHÖBAU</t>
  </si>
  <si>
    <t>Fachmodul Öffentl. Baurecht Kohlhammer</t>
  </si>
  <si>
    <t>BOSTRPISTR</t>
  </si>
  <si>
    <t xml:space="preserve">Fachmodul Steuerrecht PREMIUM mit IStR (BOSTRPISTR) </t>
  </si>
  <si>
    <t>BONOSOZ</t>
  </si>
  <si>
    <t xml:space="preserve">NomosOnline Sozialrecht (BONOSOZ) </t>
  </si>
  <si>
    <t>BOUWPREM</t>
  </si>
  <si>
    <t>Umweltrecht PREMIUM</t>
  </si>
  <si>
    <t>BOERBPREM</t>
  </si>
  <si>
    <t>Fachmodul Erbrecht PREMIUM</t>
  </si>
  <si>
    <t>BOENP</t>
  </si>
  <si>
    <t>Fachmodul Energierecht PLUS</t>
  </si>
  <si>
    <t>BOMCPREM</t>
  </si>
  <si>
    <t>beck-online Fachmodul M&amp;A und Corporate Finance PREMIUM</t>
  </si>
  <si>
    <t>BOSTP</t>
  </si>
  <si>
    <t>Fachmodul Strafrecht PLUS (BOSTP)</t>
  </si>
  <si>
    <t>BOBRP</t>
  </si>
  <si>
    <t>Fachmodul Bank- und Kapitalmarktrecht PLUS (BOBRP)</t>
  </si>
  <si>
    <t>BBP</t>
  </si>
  <si>
    <t>Zeitschriftenmodul Betriebsberater (BB)</t>
  </si>
  <si>
    <t>PDKBAY</t>
  </si>
  <si>
    <t>Beck-KOMMUNALPRAXIS Bayern PLUS (PdK-BAY)</t>
  </si>
  <si>
    <t>BOSIPOP</t>
  </si>
  <si>
    <t>Fachmodul Sicherheits- und Polizeirecht PLUS</t>
  </si>
  <si>
    <t>SKPRO</t>
  </si>
  <si>
    <t>Steuerkanzlei PRO</t>
  </si>
  <si>
    <t>BOKIRP</t>
  </si>
  <si>
    <t>KI-Recht PLUS</t>
  </si>
  <si>
    <t>BOFAMOPT</t>
  </si>
  <si>
    <t>Familienrecht OPTIMUM</t>
  </si>
  <si>
    <t>BOZIVOPTINT</t>
  </si>
  <si>
    <t>BOERBP</t>
  </si>
  <si>
    <t>Fachmodul Erbrecht PLUS (BOERBP)</t>
  </si>
  <si>
    <t>BOCPLOPT</t>
  </si>
  <si>
    <t>Compliance OPTIMUM</t>
  </si>
  <si>
    <t>PDKBW</t>
  </si>
  <si>
    <t>Beck-KOMMUNALPRAXIS Baden-Württemberg PLUS (PdK-BW)</t>
  </si>
  <si>
    <t>BOIBRBAUPREM</t>
  </si>
  <si>
    <t>Privates Baurecht ibr-online/ Privates Baurecht PREMIUM</t>
  </si>
  <si>
    <t>BOAAPREM</t>
  </si>
  <si>
    <t>Ausländer-/MigrationsR PREMIUM</t>
  </si>
  <si>
    <t>PDKNRW</t>
  </si>
  <si>
    <t>Beck-KOMMUNALPRAXIS Nordrhein-Westfalen PLUS (PdK-NRW)</t>
  </si>
  <si>
    <t>BOINSRP</t>
  </si>
  <si>
    <t>Fachmodul Insolvenzrecht PLUS (BOINSRP)</t>
  </si>
  <si>
    <t>BOPHRP</t>
  </si>
  <si>
    <t>Fachmodul Pharmarecht PLUS (BOPHRP)</t>
  </si>
  <si>
    <t>BOUWP</t>
  </si>
  <si>
    <t>Fachmodul Umweltrecht PLUS (BOUWP)</t>
  </si>
  <si>
    <t>BOMGROPT</t>
  </si>
  <si>
    <t>BOVGRP</t>
  </si>
  <si>
    <t>Fachmodul  Vergaberecht PLUS (BOVGRP)</t>
  </si>
  <si>
    <t>ALLAW</t>
  </si>
  <si>
    <t xml:space="preserve">Allianz Modul Anwalt </t>
  </si>
  <si>
    <t>BOLRBAYP</t>
  </si>
  <si>
    <t>Fachmodul Landesrecht Bayern PLUS</t>
  </si>
  <si>
    <t>BOBAUPN</t>
  </si>
  <si>
    <t>Fachmodul Privates Baurecht PLUS</t>
  </si>
  <si>
    <t>BOMGRP</t>
  </si>
  <si>
    <t>Fachmodul Medizin- und Gesundheitsrecht PLUS (BOMGRP)</t>
  </si>
  <si>
    <t>BOVSTIFPREM</t>
  </si>
  <si>
    <t>Vereins- und StiftungsR PREM</t>
  </si>
  <si>
    <t>WMP</t>
  </si>
  <si>
    <t>Zeitschriftenmodul Wertpapiermitteilungen PLUS (WMP)</t>
  </si>
  <si>
    <t>PDKHES</t>
  </si>
  <si>
    <t>Beck-KOMMUNALPRAXIS Hessen PLUS (PdK-HES)</t>
  </si>
  <si>
    <t>KHSOZ</t>
  </si>
  <si>
    <t>Fachmodul Sozialrecht Kohlhammer</t>
  </si>
  <si>
    <t>NJWP</t>
  </si>
  <si>
    <t>Zeitschriftenmodul NJW PLUS</t>
  </si>
  <si>
    <t>KOESTGKI</t>
  </si>
  <si>
    <t>Schmidt, EStG online inkl. FDS</t>
  </si>
  <si>
    <t>DVEVBM</t>
  </si>
  <si>
    <t>DVEV Basismodul</t>
  </si>
  <si>
    <t>PEPSPREM</t>
  </si>
  <si>
    <t>beck-personal-portal PREMIUM</t>
  </si>
  <si>
    <t>DBBAYR</t>
  </si>
  <si>
    <t xml:space="preserve">Datenbank BAYERN-RECHT   </t>
  </si>
  <si>
    <t>BOEUROPREM</t>
  </si>
  <si>
    <t>Fachmodul Europarecht PREMIUM</t>
  </si>
  <si>
    <t>RWSINSR</t>
  </si>
  <si>
    <t>Fachmodul Insolvenzrecht RWS</t>
  </si>
  <si>
    <t>BOPATP</t>
  </si>
  <si>
    <t>Fachmodul Patentrecht PLUS (BOPATP)</t>
  </si>
  <si>
    <t>BOVERKP</t>
  </si>
  <si>
    <t>Fachmodul Verkehrsrecht PLUS (BOVERKP)</t>
  </si>
  <si>
    <t>BOBRATP</t>
  </si>
  <si>
    <t>Fachmodul Betriebsrat PLUS</t>
  </si>
  <si>
    <t>BECKOFPREM</t>
  </si>
  <si>
    <t>Beck´sche Online-Formulare PREMIUM (BECKOFPREM)</t>
  </si>
  <si>
    <t>BOEUROP</t>
  </si>
  <si>
    <t>Fachmodul Europarecht PLUS (BOEUROP)</t>
  </si>
  <si>
    <t>BOVTRP</t>
  </si>
  <si>
    <t>Fachmodul Vertriebsrecht PLUS</t>
  </si>
  <si>
    <t>BOSYNP</t>
  </si>
  <si>
    <t>Syndikus Plus</t>
  </si>
  <si>
    <t>SLPRO</t>
  </si>
  <si>
    <t>Steuern und Landwirtschaft HLBS | C.H. Beck</t>
  </si>
  <si>
    <t>BOIBRBAUPN</t>
  </si>
  <si>
    <t xml:space="preserve">Privates Baurecht ibr-online/ Privates Baurecht PLUS </t>
  </si>
  <si>
    <t>BOZAURP</t>
  </si>
  <si>
    <t>Zoll- und AußenwirtschaftsR Plus</t>
  </si>
  <si>
    <t>BOIMWRPREM</t>
  </si>
  <si>
    <t>Immob.- &amp; ImmobilienwirtschR</t>
  </si>
  <si>
    <t>OKSTRB</t>
  </si>
  <si>
    <t>BeckOK Steuerrecht</t>
  </si>
  <si>
    <t>BOANP</t>
  </si>
  <si>
    <t>Fachmodul Anwaltsnotar PLUS (BOANP)</t>
  </si>
  <si>
    <t>BORSP</t>
  </si>
  <si>
    <t>Fachmodul  Rechtsprechung PLUS (BORSP)</t>
  </si>
  <si>
    <t>BOLRNRWP</t>
  </si>
  <si>
    <t>Landesrecht NRW PLUS</t>
  </si>
  <si>
    <t>KOESTG</t>
  </si>
  <si>
    <t>Schmidt EStG Online</t>
  </si>
  <si>
    <t>PDKSH</t>
  </si>
  <si>
    <t>Beck-KOMMUNALPRAXIS Schleswig-Holstein PLUS (PdK-SH)</t>
  </si>
  <si>
    <t>BOVRPP</t>
  </si>
  <si>
    <t>Fachmodul Verrechnungspreise PLUS</t>
  </si>
  <si>
    <t>BOVERSP</t>
  </si>
  <si>
    <t>Fachmodul Versicherungsrecht PLUS (BOVERSP)</t>
  </si>
  <si>
    <t>BOBRATPREM</t>
  </si>
  <si>
    <t>BOGRSP</t>
  </si>
  <si>
    <t>Fachmodul Gewerblicher Rechtsschutz PLUS (2002)</t>
  </si>
  <si>
    <t>BOURMRPREM</t>
  </si>
  <si>
    <t>Urheber-/Presse-/MedienR Prem</t>
  </si>
  <si>
    <t>BOVERFRP</t>
  </si>
  <si>
    <t>beck-online Fachmodul Verfassungsrecht PLUS (BOVERFRP)</t>
  </si>
  <si>
    <t>BOURMRP</t>
  </si>
  <si>
    <t>Urheber- und Medienrecht PLUS</t>
  </si>
  <si>
    <t>BOHGRINTB</t>
  </si>
  <si>
    <t>Fachmodul Handels- und Gesellschaftsrecht INTERNATIONAL</t>
  </si>
  <si>
    <t>BOFAMPREM</t>
  </si>
  <si>
    <t>Fachmodul Familienrecht PREMIUM (BOFAMPREM)</t>
  </si>
  <si>
    <t>BOGRSPN</t>
  </si>
  <si>
    <t>Fachmodul Gewerblicher Rechtsschutz PLUS (2009)</t>
  </si>
  <si>
    <t>BOMCP</t>
  </si>
  <si>
    <t>beck-online Fachmodul M&amp;A und Corporate Finance PLUS</t>
  </si>
  <si>
    <t>JUSTIZ1</t>
  </si>
  <si>
    <t>BLK - Justiz Angebots-Titelliste-1</t>
  </si>
  <si>
    <t>BOTRP</t>
  </si>
  <si>
    <t>beck-online Fachmodul Transportrecht PLUS</t>
  </si>
  <si>
    <t>BOAWBRP</t>
  </si>
  <si>
    <t>Anwaltliches Berufsrecht PLUS</t>
  </si>
  <si>
    <t>BOLRBWP</t>
  </si>
  <si>
    <t>LandesR Baden-Württemberg PLUS</t>
  </si>
  <si>
    <t>BOHSRP</t>
  </si>
  <si>
    <t>Fachmodul Hochschulrecht PLUS</t>
  </si>
  <si>
    <t>BOIBRBAUP</t>
  </si>
  <si>
    <t>Privates Baurecht ibr-online/ Privates Baurecht PLUS - ALT</t>
  </si>
  <si>
    <t>WMWUBP</t>
  </si>
  <si>
    <t>Zeitschriftenmodul WM/WuB Kombi</t>
  </si>
  <si>
    <t>PDKRPF</t>
  </si>
  <si>
    <t>Beck-KOMMUNALPRAXIS Rheinland-Pfalz PLUS (PdK-RPF)</t>
  </si>
  <si>
    <t>BOAWP</t>
  </si>
  <si>
    <t>AnwaltDirekt (BOAWP)</t>
  </si>
  <si>
    <t>BOPATPREM</t>
  </si>
  <si>
    <t>Patentrecht PREMIUM</t>
  </si>
  <si>
    <t>BECKOF</t>
  </si>
  <si>
    <t>Beck´sche Online-Formulare Vertragsformulare (BECKOF)</t>
  </si>
  <si>
    <t>BOIBRP</t>
  </si>
  <si>
    <t>Privates Baurecht ibr-online (BOIBRP)</t>
  </si>
  <si>
    <t>DAVPREM</t>
  </si>
  <si>
    <t>DAV PREMIUM</t>
  </si>
  <si>
    <t>DVEVPREM</t>
  </si>
  <si>
    <t>DVEV Premiummodul</t>
  </si>
  <si>
    <t>BOWPSPREM</t>
  </si>
  <si>
    <t>Fachmodul Wirtschaftsprüfer und Steuerberater PREMIUM</t>
  </si>
  <si>
    <t>BONORKJ</t>
  </si>
  <si>
    <t>KiJuP-online Recht der Kinder- und Jugendhilfe Nomos/DIJuF</t>
  </si>
  <si>
    <t>BNLAIWS</t>
  </si>
  <si>
    <t>Beck-Noxtua Legal AI Workspace</t>
  </si>
  <si>
    <t>BOVSTIFRP</t>
  </si>
  <si>
    <t>Fachmodul Vereins- und Stiftungsrecht PLUS</t>
  </si>
  <si>
    <t>GRURP</t>
  </si>
  <si>
    <t>Zeitschriftenmodul GRUR PLUS</t>
  </si>
  <si>
    <t>BOLRNDSP</t>
  </si>
  <si>
    <t>Landesrecht Niedersachsen PLUS</t>
  </si>
  <si>
    <t>BOVSRINT</t>
  </si>
  <si>
    <t>Fachmodul Verfahrens- und Schiedsrecht INTERNATIONAL</t>
  </si>
  <si>
    <t>BOARBINTB</t>
  </si>
  <si>
    <t>Fachmodul Arbeitsrecht INTERNATIONAL</t>
  </si>
  <si>
    <t>BONOAW</t>
  </si>
  <si>
    <t>NomosOnline Anwalt Basis inkl. zwei Ergänzungsmodule</t>
  </si>
  <si>
    <t>BOAGRP</t>
  </si>
  <si>
    <t>Fachmodul Agrarrecht PLUS</t>
  </si>
  <si>
    <t>BOERBOPT</t>
  </si>
  <si>
    <t>Erbrecht OPTIMUM</t>
  </si>
  <si>
    <t>BOSANP</t>
  </si>
  <si>
    <t>BECKEB</t>
  </si>
  <si>
    <t>Beck e-Bibliothek</t>
  </si>
  <si>
    <t>BOSOZPREM</t>
  </si>
  <si>
    <t>Fachmodul Sozialrecht Optimum</t>
  </si>
  <si>
    <t>BOBAUP</t>
  </si>
  <si>
    <t xml:space="preserve">Fachmodul Privates Baurecht PLUS - ALT </t>
  </si>
  <si>
    <t>DBRP</t>
  </si>
  <si>
    <t>Gesetzesmodul  Das Deutsche Bundesrecht (Nomos Verlag) (DBRP)</t>
  </si>
  <si>
    <t>MSZPR</t>
  </si>
  <si>
    <t>Zivilprozessrecht Mohr Siebeck</t>
  </si>
  <si>
    <t>BOCOVID19</t>
  </si>
  <si>
    <t>BOCOVID19 Corona und COVID-19</t>
  </si>
  <si>
    <t>LSKP</t>
  </si>
  <si>
    <t>Zeitschriftenmodul LSK PLUS</t>
  </si>
  <si>
    <t>BONOKOMJUR</t>
  </si>
  <si>
    <t>NomosOnline Kommunaljurist</t>
  </si>
  <si>
    <t>PDKBRB</t>
  </si>
  <si>
    <t>Beck-KOMMUNALPRAXIS Brandenburg PLUS (PdK-BRB)</t>
  </si>
  <si>
    <t>BOWPSP</t>
  </si>
  <si>
    <t>Fachmodul Wirtschaftsprüfer und Steuerberater PLUS</t>
  </si>
  <si>
    <t>BODIGIP</t>
  </si>
  <si>
    <t>KHVW</t>
  </si>
  <si>
    <t>Fachmodul Verwaltungsrecht Kohlhammer</t>
  </si>
  <si>
    <t>BOKOSTPREM</t>
  </si>
  <si>
    <t>Fachmodul Kostenrecht PREMIUM</t>
  </si>
  <si>
    <t>BOARBSRP</t>
  </si>
  <si>
    <t>Arbeitsschutzrecht PLUS</t>
  </si>
  <si>
    <t>BOLRHESP</t>
  </si>
  <si>
    <t>LandesR Hessen PLUS</t>
  </si>
  <si>
    <t>BOGRSPREM</t>
  </si>
  <si>
    <t>Fachmodul Gewerblicher Rechtsschutz PREMIUM (2009)</t>
  </si>
  <si>
    <t>BOSPRP</t>
  </si>
  <si>
    <t>Fachmodul Sportrecht PLUS</t>
  </si>
  <si>
    <t>IFAMJA</t>
  </si>
  <si>
    <t>Gutdeutsch, IFAM -Jugendamtsver.</t>
  </si>
  <si>
    <t>BOIMWRP</t>
  </si>
  <si>
    <t>Immobilien- &amp; ImmobilienwirtschR</t>
  </si>
  <si>
    <t>STBBAS</t>
  </si>
  <si>
    <t>Steuerberater BASIS</t>
  </si>
  <si>
    <t>BDPERSDKI</t>
  </si>
  <si>
    <t>PersonalDirekt inkl. FDK</t>
  </si>
  <si>
    <t>EMMEDRP</t>
  </si>
  <si>
    <t xml:space="preserve">Zeitschriftenmodul MedR PLUS (EMMEDRP) </t>
  </si>
  <si>
    <t>BOZERBP</t>
  </si>
  <si>
    <t>Fachmodul ZErb Erbrecht PLUS (BOZERBP)</t>
  </si>
  <si>
    <t>PEPSP</t>
  </si>
  <si>
    <t>beck-personal-portal PLUS</t>
  </si>
  <si>
    <t>IERB</t>
  </si>
  <si>
    <t>Gutdeutsch, Erbrechtliche Berechnungen Online (IERB)</t>
  </si>
  <si>
    <t>BODWRP</t>
  </si>
  <si>
    <t>Datenwirtschaftsrecht PLUS</t>
  </si>
  <si>
    <t>PDKSA</t>
  </si>
  <si>
    <t>Beck-KOMMUNALPRAXIS Sachsen PLUS (PdK-SA)</t>
  </si>
  <si>
    <t>BOZVGP</t>
  </si>
  <si>
    <t>Zwangsvollstr./Zwangsverst.R PLUS</t>
  </si>
  <si>
    <t>DOEVP</t>
  </si>
  <si>
    <t>Zeitschriftenmodul  Die öffentliche Verwaltung (DÖV)</t>
  </si>
  <si>
    <t>BOZIVPRN</t>
  </si>
  <si>
    <t>Zivilrecht PREMIUM (NEU)</t>
  </si>
  <si>
    <t>BOWSTP</t>
  </si>
  <si>
    <t>BOARBKP</t>
  </si>
  <si>
    <t>FINERB</t>
  </si>
  <si>
    <t>Finanzverwaltung Modul Erbschaftssteuergesetz + Bewertung</t>
  </si>
  <si>
    <t>BOZIVOPTN</t>
  </si>
  <si>
    <t>Zivilrecht OPTIMUM (NEU)</t>
  </si>
  <si>
    <t>FCHBKR</t>
  </si>
  <si>
    <t>Banken-Regulatorik/Bankpraxis FCH</t>
  </si>
  <si>
    <t>PDKLSA</t>
  </si>
  <si>
    <t>Beck-KOMMUNALPRAXIS Sachsen-Anhalt PLUS (PdK-LSA)</t>
  </si>
  <si>
    <t>BOVTRPREM</t>
  </si>
  <si>
    <t>Vertriebsrecht PREMIUM</t>
  </si>
  <si>
    <t>FINISTR</t>
  </si>
  <si>
    <t>Finanzverwaltung Modul Internationales Steuerrecht</t>
  </si>
  <si>
    <t>BOKARTBAS</t>
  </si>
  <si>
    <t>Kartellrecht Basis</t>
  </si>
  <si>
    <t>ELKB</t>
  </si>
  <si>
    <t xml:space="preserve">Rechtssammlg. ELKB   </t>
  </si>
  <si>
    <t>BOKARTOPT</t>
  </si>
  <si>
    <t>Kartellrecht OPTIMUM</t>
  </si>
  <si>
    <t>GEWAP</t>
  </si>
  <si>
    <t xml:space="preserve"> Zeitschriftenmodul Gewerbearchiv (GEWAP) </t>
  </si>
  <si>
    <t>BDIGTP</t>
  </si>
  <si>
    <t>BDIGTP beck.digitax PLUS</t>
  </si>
  <si>
    <t>BOKVP</t>
  </si>
  <si>
    <t>Fachmodul Krankenversicherungsrecht PLUS</t>
  </si>
  <si>
    <t>PDKMV</t>
  </si>
  <si>
    <t>Beck-KOMMUNALPRAXIS Mecklenburg-Vorpommern PLUS (PdK-MV)</t>
  </si>
  <si>
    <t>BONOPRCPL</t>
  </si>
  <si>
    <t>BOMBRP</t>
  </si>
  <si>
    <t>BOBTRP</t>
  </si>
  <si>
    <t>Betreuungsrecht PLUS</t>
  </si>
  <si>
    <t>BOPHRPREM</t>
  </si>
  <si>
    <t>Pharmarecht PREMIUM</t>
  </si>
  <si>
    <t>BOSOZP</t>
  </si>
  <si>
    <t>Fachmodul Sozialrecht Premium</t>
  </si>
  <si>
    <t>BOZIVPN</t>
  </si>
  <si>
    <t>Zivilrecht PLUS (NEU)</t>
  </si>
  <si>
    <t>BONOKOSP</t>
  </si>
  <si>
    <t>NomosOnline Kommentierte Spezialgesetze</t>
  </si>
  <si>
    <t>KHKSBGB</t>
  </si>
  <si>
    <t>Soergel BGB Kohlhammer</t>
  </si>
  <si>
    <t>BOKOSTP</t>
  </si>
  <si>
    <t>Fachmodul Kostenrecht PLUS</t>
  </si>
  <si>
    <t>BOUSTRSP</t>
  </si>
  <si>
    <t>Fachmodul Umsatzsteuerrecht SPEZIAL</t>
  </si>
  <si>
    <t>BOSLPREM</t>
  </si>
  <si>
    <t>Fachmodul Steuern und Landwirtschaft PREMIUM</t>
  </si>
  <si>
    <t>AWMW</t>
  </si>
  <si>
    <t>Anwalt PREMIUM Miet- und WEG-Recht (AWMW)</t>
  </si>
  <si>
    <t>NOFORM</t>
  </si>
  <si>
    <t>NomosOnline Formulare</t>
  </si>
  <si>
    <t>NVWZP</t>
  </si>
  <si>
    <t>Zeitschriftenmodul NVwZ PLUS</t>
  </si>
  <si>
    <t>SYNZIV</t>
  </si>
  <si>
    <t>Zivilrecht Syndikus</t>
  </si>
  <si>
    <t>BONOVW</t>
  </si>
  <si>
    <t>NomosOnline Verwaltungsrecht</t>
  </si>
  <si>
    <t>IDWBT</t>
  </si>
  <si>
    <t>IDW Bewertung und Transaktionsberatung</t>
  </si>
  <si>
    <t>SYNARB</t>
  </si>
  <si>
    <t>Arbeitsrecht Syndikus</t>
  </si>
  <si>
    <t>BOSOZPN</t>
  </si>
  <si>
    <t>Sozialrecht PLUS (Neu)</t>
  </si>
  <si>
    <t>AWSTV</t>
  </si>
  <si>
    <t>Anwalt PREMIUM Straßenverkehrsrecht (AWSTV)</t>
  </si>
  <si>
    <t>AWHGR</t>
  </si>
  <si>
    <t>Anwalt PREMIUM Handels- und Gesellschaftsrecht (AWHGR)</t>
  </si>
  <si>
    <t>NZANZSP</t>
  </si>
  <si>
    <t>Zeitschriftenmodul NZA/NZS PLUS</t>
  </si>
  <si>
    <t>SYNDS</t>
  </si>
  <si>
    <t>Datenschutzrecht Syndikus</t>
  </si>
  <si>
    <t>BDPERSD</t>
  </si>
  <si>
    <t>PersonalDirekt</t>
  </si>
  <si>
    <t>PDKTH</t>
  </si>
  <si>
    <t>Beck-KOMMUNALPRAXIS Thüringen PLUS (PdK-TH)</t>
  </si>
  <si>
    <t>BONODS</t>
  </si>
  <si>
    <t>NomosOnline Datenschutz- u. InfoR</t>
  </si>
  <si>
    <t>JUSPREM</t>
  </si>
  <si>
    <t>JuS PREMIUM (JUSPREM)</t>
  </si>
  <si>
    <t>AWST</t>
  </si>
  <si>
    <t>Anwalt PREMIUM Strafrecht (AWST)</t>
  </si>
  <si>
    <t>ZEVP</t>
  </si>
  <si>
    <t>Zeitschriftenmodul ZEV PLUS</t>
  </si>
  <si>
    <t>AWFAMERB</t>
  </si>
  <si>
    <t>Anwalt PREMIUM Familien- und Erbrecht (AWFAMERB)</t>
  </si>
  <si>
    <t>SYNHGR</t>
  </si>
  <si>
    <t>Handels- und Gesellschaftsrecht Syndikus</t>
  </si>
  <si>
    <t>DVEVSTR</t>
  </si>
  <si>
    <t>DVEV Erweiterungsmodul Steuerrecht</t>
  </si>
  <si>
    <t>ZAPST</t>
  </si>
  <si>
    <t xml:space="preserve">Fachmodul Strafrecht ZAP Verlag </t>
  </si>
  <si>
    <t>SYNGRS</t>
  </si>
  <si>
    <t>Gewerblicher Rechtsschutz Syndikus</t>
  </si>
  <si>
    <t>BORRP</t>
  </si>
  <si>
    <t>Reiserecht PLUS</t>
  </si>
  <si>
    <t>FINAUN2</t>
  </si>
  <si>
    <t>Finanzverwaltung Aufbaumodul  Unternehmenssteuerrecht 2</t>
  </si>
  <si>
    <t>STVRP</t>
  </si>
  <si>
    <t>Gesetzesmodul Straßenverkehrsrecht Texte (STVRP)</t>
  </si>
  <si>
    <t>SKERBST</t>
  </si>
  <si>
    <t>Steuerkanzlei PRO ErbschaftSt</t>
  </si>
  <si>
    <t>BOSLP</t>
  </si>
  <si>
    <t xml:space="preserve">Fachmodul Steuern und Landwirtschaft PLUS </t>
  </si>
  <si>
    <t>SCHOP</t>
  </si>
  <si>
    <t>Gesetzesmodul Schönfelder PLUS (SCHOP)</t>
  </si>
  <si>
    <t>AWARB</t>
  </si>
  <si>
    <t>Anwalt PREMIUM Arbeitsrecht (AWARB)</t>
  </si>
  <si>
    <t>BGDBW</t>
  </si>
  <si>
    <t>Beck'sche Gesetze Digital Baden-Württemberg</t>
  </si>
  <si>
    <t>LMRTP</t>
  </si>
  <si>
    <t>Textemodul Lebensmittelrecht Texte PLUS (LMRTP)</t>
  </si>
  <si>
    <t>RIWP</t>
  </si>
  <si>
    <t>Zeitschriftenmodul RIW</t>
  </si>
  <si>
    <t>SYNCPL</t>
  </si>
  <si>
    <t>Compliance Syndikus</t>
  </si>
  <si>
    <t>IDWSI</t>
  </si>
  <si>
    <t>IDW Sanierung und Insolvenz</t>
  </si>
  <si>
    <t>KHAMR</t>
  </si>
  <si>
    <t>Fachmodul Arzneimittelrecht Kohlhammer</t>
  </si>
  <si>
    <t>AWBAU</t>
  </si>
  <si>
    <t>Anwalt PREMIUM Bau- und Architektenrecht (AWBAU)</t>
  </si>
  <si>
    <t>BOGRSOPT</t>
  </si>
  <si>
    <t>Gewerblicher Rechtsschutz OPTIM</t>
  </si>
  <si>
    <t>BONOEX</t>
  </si>
  <si>
    <t>NomosOnline Existenzsicherung (BONOEX)</t>
  </si>
  <si>
    <t>BOLAWLP</t>
  </si>
  <si>
    <t>BONOFAM</t>
  </si>
  <si>
    <t>NomosOnline Familienrecht (BONOFAM)</t>
  </si>
  <si>
    <t>BONOSOZAR</t>
  </si>
  <si>
    <t>OGKAMR</t>
  </si>
  <si>
    <t>BeckOGK Auszug Miet- und WEG-Recht</t>
  </si>
  <si>
    <t>BOIMMDATP</t>
  </si>
  <si>
    <t>Fachmodul IMM-DAT PLUS (BOIMMDATP)</t>
  </si>
  <si>
    <t>SKUWR</t>
  </si>
  <si>
    <t>Steuerkanzlei PRO Unternehmen/UmwR</t>
  </si>
  <si>
    <t>CBP</t>
  </si>
  <si>
    <t>Zeitschriftenmodul CB</t>
  </si>
  <si>
    <t>NOKOEBR</t>
  </si>
  <si>
    <t>Nomos Kommentarmodul Eisenbahnrecht</t>
  </si>
  <si>
    <t>INTERP</t>
  </si>
  <si>
    <t>Zeitschriftenmodul InTeR</t>
  </si>
  <si>
    <t>BOSIPOPREM</t>
  </si>
  <si>
    <t>Sicherheits- &amp; PolizeiR PREM</t>
  </si>
  <si>
    <t>DVEVFAM</t>
  </si>
  <si>
    <t>DVEV Erweiterungsmodul Familienrecht</t>
  </si>
  <si>
    <t>APP</t>
  </si>
  <si>
    <t>Zeitschriftenmodul  Arbeitsrechtliche Praxis PLUS (APP)</t>
  </si>
  <si>
    <t>BONOST</t>
  </si>
  <si>
    <t>NomosOnline Strafrecht</t>
  </si>
  <si>
    <t>OGKAWVR</t>
  </si>
  <si>
    <t>BeckOGK Auszug Werkvertragsrecht</t>
  </si>
  <si>
    <t>SKGREST</t>
  </si>
  <si>
    <t>Steuerkanzlei PRO GrunderwerbSt</t>
  </si>
  <si>
    <t>JAPREM</t>
  </si>
  <si>
    <t>JA PREMIUM</t>
  </si>
  <si>
    <t>BONOERB</t>
  </si>
  <si>
    <t>ZWEPE</t>
  </si>
  <si>
    <t>ZWE PLUS eid</t>
  </si>
  <si>
    <t>RAWP</t>
  </si>
  <si>
    <t>Zeitschriftenmodul RAW</t>
  </si>
  <si>
    <t>BGDBAY</t>
  </si>
  <si>
    <t>Beck'sche Gesetze Digital Bayern</t>
  </si>
  <si>
    <t>BOPREMN14</t>
  </si>
  <si>
    <t>beck-online PREMIUM Spezial</t>
  </si>
  <si>
    <t>BGDNRW</t>
  </si>
  <si>
    <t>Beck'sche Gesetze Digital Nordrhein-Westfalen</t>
  </si>
  <si>
    <t>JUSJAP</t>
  </si>
  <si>
    <t>JuS JA PLUS</t>
  </si>
  <si>
    <t>BGDNDS</t>
  </si>
  <si>
    <t>Beck'sche Gesetze Digital Niedersachsen</t>
  </si>
  <si>
    <t>BECKOFPF</t>
  </si>
  <si>
    <t>Beck´sche Online-Formulare Prozessformulare (BECKOFPF)</t>
  </si>
  <si>
    <t>AICHP</t>
  </si>
  <si>
    <t>Gesetzesmodul Aichberger PLUS, SGB (AICHP)</t>
  </si>
  <si>
    <t>AWAWR</t>
  </si>
  <si>
    <t xml:space="preserve">Anwalt PREMIUM Anwaltsrecht (AWAWR) </t>
  </si>
  <si>
    <t>NOKOMMZ</t>
  </si>
  <si>
    <t>Zeitschriftenmodul NOMOS Kommunalzeitschriften (NOKOMMZ)</t>
  </si>
  <si>
    <t>DARP</t>
  </si>
  <si>
    <t>Zeitschriftenmodul DAR PLUS</t>
  </si>
  <si>
    <t>BOFWP</t>
  </si>
  <si>
    <t>Festschriften &amp; Wissenschaft PLUS</t>
  </si>
  <si>
    <t>ZFWGP</t>
  </si>
  <si>
    <t>Zeitschriftenmodul ZfWG - Zeitschrift für Wett- und Glücksspielrecht</t>
  </si>
  <si>
    <t>SKGMBH</t>
  </si>
  <si>
    <t>Steuerkanzlei PRO GmbH-Recht</t>
  </si>
  <si>
    <t>AWVW</t>
  </si>
  <si>
    <t>Anwalt PREMIUM Verwaltungsrecht (AWVW)</t>
  </si>
  <si>
    <t>ZERBP</t>
  </si>
  <si>
    <t xml:space="preserve"> Zeitschriftenmodul für die Erbrechtspraxis (ZERBP)</t>
  </si>
  <si>
    <t>ARBAYP</t>
  </si>
  <si>
    <t>Architektenrecht Bayern PLUS</t>
  </si>
  <si>
    <t>ZHRP</t>
  </si>
  <si>
    <t>Zeitschriftenmodul ZHR</t>
  </si>
  <si>
    <t>FINABU</t>
  </si>
  <si>
    <t>Finanzverwaltung Aufbaumodul Buß- und Strafsachen</t>
  </si>
  <si>
    <t>ARBAYBAS</t>
  </si>
  <si>
    <t>Architektenrecht Bayern BASIS</t>
  </si>
  <si>
    <t>DVEVIERB</t>
  </si>
  <si>
    <t>DVEV Erweiterungsmodul Gutdeutsch, Erbrechtl. Berechnungen Online</t>
  </si>
  <si>
    <t>NZIP</t>
  </si>
  <si>
    <t>Zeitschriftenmodul NZI PLUS</t>
  </si>
  <si>
    <t>WUBP</t>
  </si>
  <si>
    <t>Zeitschriftenmodul WuB (WUBP)</t>
  </si>
  <si>
    <t>RDFP</t>
  </si>
  <si>
    <t>Zeitschriftenmodul RdF</t>
  </si>
  <si>
    <t>NSTZP</t>
  </si>
  <si>
    <t>Zeitschriftenmodul NStZ PLUS</t>
  </si>
  <si>
    <t>FDARB</t>
  </si>
  <si>
    <t>beck-fachdienst Arbeitsrecht</t>
  </si>
  <si>
    <t>ZUMP</t>
  </si>
  <si>
    <t>Zeitschriftenmodul ZUM/ZUM-RD (ZUMP)</t>
  </si>
  <si>
    <t>BGDHES</t>
  </si>
  <si>
    <t>Beck'sche Gesetze Digital Hessen</t>
  </si>
  <si>
    <t>BOSTRNAV</t>
  </si>
  <si>
    <t>Beck Steuer-Navi</t>
  </si>
  <si>
    <t>OKFLUGGRVO</t>
  </si>
  <si>
    <t>NOKOBLMJR</t>
  </si>
  <si>
    <t>Nomos Kommentarmodul Bayerisches Mediengesetz mit RStV und JMStV</t>
  </si>
  <si>
    <t>SKISTR</t>
  </si>
  <si>
    <t>Steuerkanzlei PRO Internat. StR</t>
  </si>
  <si>
    <t>SARP</t>
  </si>
  <si>
    <t>Gesetzesmodul Sartorius PLUS (SARP)</t>
  </si>
  <si>
    <t>EUZWP</t>
  </si>
  <si>
    <t>Zeitschriftenmodul Europäische Zeitschrift für Wirtschaftsrecht PLUS (EUZWP)</t>
  </si>
  <si>
    <t>BONOPPR</t>
  </si>
  <si>
    <t>Nomos ParlamentsR &amp; ParteienR</t>
  </si>
  <si>
    <t>LMKP</t>
  </si>
  <si>
    <t xml:space="preserve">beck-fachdienst Zivilrecht - LMK </t>
  </si>
  <si>
    <t>AURP</t>
  </si>
  <si>
    <t xml:space="preserve"> Zeitschriftenmodul A&amp;R PLUS (AURP) </t>
  </si>
  <si>
    <t>FDMW</t>
  </si>
  <si>
    <t>beck-fachdienst  Miet- und Wohnungseigentumsrecht</t>
  </si>
  <si>
    <t>FINVOLL</t>
  </si>
  <si>
    <t>Finanzverwaltung Modul Vollstreckungsstelle</t>
  </si>
  <si>
    <t>AWKOMP</t>
  </si>
  <si>
    <t>Anwalt PREMIUM komplett</t>
  </si>
  <si>
    <t>KOOGKHR1</t>
  </si>
  <si>
    <t>beck-online.GROSSKOMMENTAR zum Handelsrecht</t>
  </si>
  <si>
    <t>FINBI</t>
  </si>
  <si>
    <t>Finanzverwaltung Modul Bilanzrecht</t>
  </si>
  <si>
    <t>KOREDP</t>
  </si>
  <si>
    <t>Kommentarmodul Redeker/von Oertzen PLUS (KOREDP)</t>
  </si>
  <si>
    <t>EWSP</t>
  </si>
  <si>
    <t>Zeitschriftenmodul EWS</t>
  </si>
  <si>
    <t>GWRP</t>
  </si>
  <si>
    <t>Zeitschriftenmodul  GWR PLUS (GWRP)</t>
  </si>
  <si>
    <t>AWSOZ</t>
  </si>
  <si>
    <t>Anwalt PREMIUM Sozialrecht (AWSOZ)</t>
  </si>
  <si>
    <t>BGDSA</t>
  </si>
  <si>
    <t>Beck'sche Gesetze Digital Sachsen</t>
  </si>
  <si>
    <t>STBP</t>
  </si>
  <si>
    <t>Zeitschriftenmodul StB - Der Steuerberater</t>
  </si>
  <si>
    <t>CREIP</t>
  </si>
  <si>
    <t>Creifelds CD</t>
  </si>
  <si>
    <t>JUOKKL7</t>
  </si>
  <si>
    <t xml:space="preserve">Justiz-Kommentarmodul BeckOK klein 7 </t>
  </si>
  <si>
    <t>BGDBLN</t>
  </si>
  <si>
    <t>Beck'sche Gesetze Digital Berlin</t>
  </si>
  <si>
    <t>BONORBM</t>
  </si>
  <si>
    <t>Nomos Recht d. Menschen m. Behin</t>
  </si>
  <si>
    <t>ESGP</t>
  </si>
  <si>
    <t>ESG PLUS</t>
  </si>
  <si>
    <t>NURP</t>
  </si>
  <si>
    <t>Zeitschriftenmodul N&amp;R - Netzwirtschaften &amp; Recht</t>
  </si>
  <si>
    <t>BGDBRB</t>
  </si>
  <si>
    <t>Beck'sche Gesetze Digital Brandenburg</t>
  </si>
  <si>
    <t>FDINSR</t>
  </si>
  <si>
    <t>beck-fachdienst Insolvenzrecht</t>
  </si>
  <si>
    <t>BGDSL</t>
  </si>
  <si>
    <t>Beck'sche Gesetze Digital Saarland</t>
  </si>
  <si>
    <t>SKAG</t>
  </si>
  <si>
    <t>Steuerkanzlei PRO AG-Recht</t>
  </si>
  <si>
    <t>ZVGLRP</t>
  </si>
  <si>
    <t>Zeitschriftenmodul ZVglRWiss</t>
  </si>
  <si>
    <t>BGDLSA</t>
  </si>
  <si>
    <t>Beck'sche Gesetze Digital Sachsen-Anhalt</t>
  </si>
  <si>
    <t>ATVVOBC</t>
  </si>
  <si>
    <t>Gesetzesmodul ATV DIN-Normen VOB/C (ATVVOBC)</t>
  </si>
  <si>
    <t>FDSTV</t>
  </si>
  <si>
    <t>beck-fachdienst Straßenverkehrsrecht</t>
  </si>
  <si>
    <t>BGDMV</t>
  </si>
  <si>
    <t>Beck'sche Gesetze Digital Mecklenburg-Vorpommern</t>
  </si>
  <si>
    <t>BGDRPF</t>
  </si>
  <si>
    <t>Beck'sche Gesetze Digital Rheinland-Pfalz</t>
  </si>
  <si>
    <t>NOKOBAUGB</t>
  </si>
  <si>
    <t>Nomos Komm. BauGB BauNVO</t>
  </si>
  <si>
    <t>GRURPXP</t>
  </si>
  <si>
    <t>Zeitschriftenmodul GRUR-Prax PLUS (GRURPXP)</t>
  </si>
  <si>
    <t>PATLAWINT</t>
  </si>
  <si>
    <t>Patent Law International</t>
  </si>
  <si>
    <t>FDERB</t>
  </si>
  <si>
    <t>beck-fachdienst Erbrecht</t>
  </si>
  <si>
    <t>FDRVG</t>
  </si>
  <si>
    <t>beck-fachdienst  Vergütungs- und Kostenrecht</t>
  </si>
  <si>
    <t>MMRP</t>
  </si>
  <si>
    <t>ZFUP</t>
  </si>
  <si>
    <t>Zeitschriftenmodul ZfU</t>
  </si>
  <si>
    <t>FINGM</t>
  </si>
  <si>
    <t xml:space="preserve">Finanzverwaltung Grundmodul   </t>
  </si>
  <si>
    <t>BGDTH</t>
  </si>
  <si>
    <t>Beck'sche Gesetze Digital Thüringen</t>
  </si>
  <si>
    <t>BGDSH</t>
  </si>
  <si>
    <t xml:space="preserve">Gesetze Digital Schleswig-Hols  </t>
  </si>
  <si>
    <t>BOPREMBIKO</t>
  </si>
  <si>
    <t>PREMIUM Ergänzungsmodul Beck'scher Bilanzkommentar</t>
  </si>
  <si>
    <t>BGDHBG</t>
  </si>
  <si>
    <t>Beck'sche Gesetze Digital Hamburg</t>
  </si>
  <si>
    <t>NOKOSKAR</t>
  </si>
  <si>
    <t>Nomos StichwortKomm. ArbeitsR</t>
  </si>
  <si>
    <t>NLMRP</t>
  </si>
  <si>
    <t>Zeitschriftenmodul NLMR</t>
  </si>
  <si>
    <t>JUOKSTRAFV</t>
  </si>
  <si>
    <t>Justiz-Kommentarmodul BeckOK Strafvollzug</t>
  </si>
  <si>
    <t>FDZVR</t>
  </si>
  <si>
    <t xml:space="preserve">Fachdienst Zivilverfahrensrecht   </t>
  </si>
  <si>
    <t>NOKOGKSRB</t>
  </si>
  <si>
    <t>Nomos Gesamtkomm. SozialRBerat</t>
  </si>
  <si>
    <t>MSBVERFGE</t>
  </si>
  <si>
    <t>BVerfGE Mohr Siebeck</t>
  </si>
  <si>
    <t>BONOAWVKR</t>
  </si>
  <si>
    <t xml:space="preserve">NomosOnl Anw ErgModul VerkehrR </t>
  </si>
  <si>
    <t>BONOAWMW</t>
  </si>
  <si>
    <t xml:space="preserve">Nomos Anwalt Erg.mod.Miet&amp;WEG-R  </t>
  </si>
  <si>
    <t>NOKOZPO</t>
  </si>
  <si>
    <t>Nomos Kommentarmodul ZPO</t>
  </si>
  <si>
    <t>NOKOSKLT</t>
  </si>
  <si>
    <t>Nomos StichwortKommentar Legal Tech</t>
  </si>
  <si>
    <t>RRAP</t>
  </si>
  <si>
    <t>RRa PLUS</t>
  </si>
  <si>
    <t>BONOAWVW</t>
  </si>
  <si>
    <t xml:space="preserve">NomosOnl Anwalt ErgModul VerwR </t>
  </si>
  <si>
    <t>BONOAWST</t>
  </si>
  <si>
    <t xml:space="preserve">Nomos Anwalt Erg.modul StrafR </t>
  </si>
  <si>
    <t>SICP</t>
  </si>
  <si>
    <t>BONOAWSOZ</t>
  </si>
  <si>
    <t xml:space="preserve">Nomos Anwalt Erg.modul SozR </t>
  </si>
  <si>
    <t>BONOAWFAM</t>
  </si>
  <si>
    <t xml:space="preserve">NomosOnl Anwalt Erg.mod. FamR </t>
  </si>
  <si>
    <t>NOKODKDS</t>
  </si>
  <si>
    <t>Nomos Komm. Doku z. Datenschutz</t>
  </si>
  <si>
    <t>BGDBRE</t>
  </si>
  <si>
    <t xml:space="preserve"> Gesetze digital Bremen </t>
  </si>
  <si>
    <t>NDENKA</t>
  </si>
  <si>
    <t>Newsdienst EnK-Aktuell</t>
  </si>
  <si>
    <t>BONOAWARB</t>
  </si>
  <si>
    <t xml:space="preserve">Nomos Anwalt Erg.modul ArbR </t>
  </si>
  <si>
    <t>BONOAWHGR</t>
  </si>
  <si>
    <t xml:space="preserve">Nomos Anw.Erg.mod. Handel&amp;GesR  </t>
  </si>
  <si>
    <t>NOHBHSRB</t>
  </si>
  <si>
    <t>BONOAWERB</t>
  </si>
  <si>
    <t>Nomos Onl Anwalt Erg.mod. ErbR</t>
  </si>
  <si>
    <t>BOPREM</t>
  </si>
  <si>
    <t>BOPREMSTB</t>
  </si>
  <si>
    <t>PREMIUM für Steuerberater</t>
  </si>
  <si>
    <t>INTRA</t>
  </si>
  <si>
    <t>Datenbank - Nutzungsrecht</t>
  </si>
  <si>
    <t>BLK</t>
  </si>
  <si>
    <t>BLK - Justiz Angebots-Titelliste-4</t>
  </si>
  <si>
    <t>LAND1</t>
  </si>
  <si>
    <t>Land - Angebotstitelliste 1</t>
  </si>
  <si>
    <t>LAND4</t>
  </si>
  <si>
    <t>Land - Angebotstitelliste 4</t>
  </si>
  <si>
    <t>BUND1</t>
  </si>
  <si>
    <t>Bund - Angebotstitelliste 1</t>
  </si>
  <si>
    <t>JUERGKB</t>
  </si>
  <si>
    <t>Justiz-Ergänzungsangebot klein B</t>
  </si>
  <si>
    <t>JUOKPREM</t>
  </si>
  <si>
    <t>Justiz-Kommentarmodul BeckOK komplett</t>
  </si>
  <si>
    <t>JUOKSTRAFR</t>
  </si>
  <si>
    <t>Justiz-Kommentarmodul BeckOK StrafR</t>
  </si>
  <si>
    <t>JUBWSCHOEN</t>
  </si>
  <si>
    <t>Justiz-Kommentarmodul BW Schöner/Stöber</t>
  </si>
  <si>
    <t>JUKOMM3</t>
  </si>
  <si>
    <t>Justiz-Kommentarmodul 3</t>
  </si>
  <si>
    <t>JUKOMM5</t>
  </si>
  <si>
    <t>Justiz-Kommentarmodul 5</t>
  </si>
  <si>
    <t>JUGRABITZ</t>
  </si>
  <si>
    <t>Justiz-Kommentarmodul Grabitz/Hilf</t>
  </si>
  <si>
    <t>JUZPO</t>
  </si>
  <si>
    <t>Justiz-Kommentarmodul MüKo ZPO</t>
  </si>
  <si>
    <t>JUERGD</t>
  </si>
  <si>
    <t>Justiz-Ergänzungsangebot D</t>
  </si>
  <si>
    <t>JUERGB</t>
  </si>
  <si>
    <t>Justiz-Ergänzungsangebot B</t>
  </si>
  <si>
    <t>JUERGKD</t>
  </si>
  <si>
    <t>Justiz-Ergänzungsangebot klein D</t>
  </si>
  <si>
    <t>JUERGKA</t>
  </si>
  <si>
    <t>Justiz-Ergänzungsangebot klein A</t>
  </si>
  <si>
    <t>JUERGKC</t>
  </si>
  <si>
    <t>Justiz-Ergänzungsangebot klein C</t>
  </si>
  <si>
    <t>JUERGA</t>
  </si>
  <si>
    <t>Justiz-Ergänzungsangebot A</t>
  </si>
  <si>
    <t>JUERGC</t>
  </si>
  <si>
    <t>Justiz-Ergänzungsangebot C</t>
  </si>
  <si>
    <t>JUOPT</t>
  </si>
  <si>
    <t>Justiz OPTIMUM</t>
  </si>
  <si>
    <t>JUOPTERG2020</t>
  </si>
  <si>
    <t>Justiz OPTIMUM Ergänzungstitel</t>
  </si>
  <si>
    <t>JUSTIZ2</t>
  </si>
  <si>
    <t>BLK - Justiz Angebots-Titelliste-2</t>
  </si>
  <si>
    <t>JUSTIZ5</t>
  </si>
  <si>
    <t>BLK - Justiz Ergänzungs-Titelliste-5</t>
  </si>
  <si>
    <t>JUSTIZ6</t>
  </si>
  <si>
    <t>BLK - Justiz Ergänzungs-Titelliste-6</t>
  </si>
  <si>
    <t>JUSTIZ7</t>
  </si>
  <si>
    <t>BLK - Justiz Ergänzungs-Titelliste-7</t>
  </si>
  <si>
    <t>JUSTIZ8</t>
  </si>
  <si>
    <t>BLK - Justiz Ergänzungs-Titelliste-8</t>
  </si>
  <si>
    <t>JUSTIZ9</t>
  </si>
  <si>
    <t>BLK - Justiz Ergänzungs-Titelliste-9</t>
  </si>
  <si>
    <t>HMHGR</t>
  </si>
  <si>
    <t>Handels- und Gesellschaftsrecht Heymanns</t>
  </si>
  <si>
    <t>KIBW</t>
  </si>
  <si>
    <t>KIBW online</t>
  </si>
  <si>
    <t>KPGTBW</t>
  </si>
  <si>
    <t>Beck-Kommunalpraxis GTBW PLUS (KPGTBW)</t>
  </si>
  <si>
    <t>VERSP</t>
  </si>
  <si>
    <t xml:space="preserve">Zeitschriftenmodul Versicherungsrecht - VersR </t>
  </si>
  <si>
    <t>DNBNOT</t>
  </si>
  <si>
    <t>Fachmodul Bonner Notarrecht Dt. Notarverlag</t>
  </si>
  <si>
    <t>CFMWST</t>
  </si>
  <si>
    <t>Fachmodul Wirtschaftsstrafrecht C.F. Müller</t>
  </si>
  <si>
    <t>LHKART</t>
  </si>
  <si>
    <t>Kartellrecht Luchterhand</t>
  </si>
  <si>
    <t>BOEUHERP</t>
  </si>
  <si>
    <t>Fachmodul Europarecht HER PLUS (BOEUHERP)</t>
  </si>
  <si>
    <t>REFHES</t>
  </si>
  <si>
    <t>Hessen.Rechtsreferendariat</t>
  </si>
  <si>
    <t>AVSTVVR</t>
  </si>
  <si>
    <t>Verkehrsrecht Dt. Anwaltverlag</t>
  </si>
  <si>
    <t>BOPREMDEWA</t>
  </si>
  <si>
    <t>PREMIUM Ergänzungsmodul Wassermeyer</t>
  </si>
  <si>
    <t>LHMR</t>
  </si>
  <si>
    <t>Miet- und WEG-Recht Luchterhand</t>
  </si>
  <si>
    <t>LHVERK</t>
  </si>
  <si>
    <t>Verkehrsrecht Luchterhand</t>
  </si>
  <si>
    <t>KPBWGZ</t>
  </si>
  <si>
    <t>Beck-Kommunalpraxis BWGZ PLUS (KPBWGZ)</t>
  </si>
  <si>
    <t>HMST</t>
  </si>
  <si>
    <t>Strafrecht Heymanns</t>
  </si>
  <si>
    <t>KOOGKUWR</t>
  </si>
  <si>
    <t>BeckOGK Umwandlungsgesetz</t>
  </si>
  <si>
    <t>LHFAM</t>
  </si>
  <si>
    <t>Familienrecht Luchterhand</t>
  </si>
  <si>
    <t>TRTPA</t>
  </si>
  <si>
    <t>Transfer Pricing Analyzer</t>
  </si>
  <si>
    <t>REFSH</t>
  </si>
  <si>
    <t>Schleswig-Holstein.Rechtsreferendariat</t>
  </si>
  <si>
    <t>AVGEBR</t>
  </si>
  <si>
    <t>Gebührenrecht Dt. Anwaltverlag</t>
  </si>
  <si>
    <t>DNOTZP</t>
  </si>
  <si>
    <t>Zeitschriftenmodul Deutsche Notar-Zeitschrift PLUS (DNOTZP)</t>
  </si>
  <si>
    <t>BONOSRB</t>
  </si>
  <si>
    <t>NomosOnline Sozialrechtsberatung (BONOSRB)</t>
  </si>
  <si>
    <t>LMRRP</t>
  </si>
  <si>
    <t>Zeitschriftenmodul Lebensmittelrecht Rechtsprechung PLUS (LMRRP)</t>
  </si>
  <si>
    <t>REFBLN</t>
  </si>
  <si>
    <t>Berlin.Rechtsreferendariat</t>
  </si>
  <si>
    <t>ADVOBAS</t>
  </si>
  <si>
    <t>advoware BASISMODUL</t>
  </si>
  <si>
    <t>FDVERS</t>
  </si>
  <si>
    <t>beck-fachdienst Versicherungsrecht</t>
  </si>
  <si>
    <t>FDSVR</t>
  </si>
  <si>
    <t>beck-fachdienst Sozialversicherungsrecht</t>
  </si>
  <si>
    <t>OGKAEUERB</t>
  </si>
  <si>
    <t>BeckOGK Auszug EuErbVO</t>
  </si>
  <si>
    <t>FINAUN1</t>
  </si>
  <si>
    <t>Finanzverwaltung Aufbaumodul  Unternehmenssteuerrecht 1</t>
  </si>
  <si>
    <t>FDST</t>
  </si>
  <si>
    <t>beck-fachdienst Strafrecht</t>
  </si>
  <si>
    <t>ZAPP</t>
  </si>
  <si>
    <t xml:space="preserve">ZS-Modul ZAP   </t>
  </si>
  <si>
    <t>NDMMR</t>
  </si>
  <si>
    <t xml:space="preserve">Newsdienst MMR aktuell  </t>
  </si>
  <si>
    <t>NDZD</t>
  </si>
  <si>
    <t xml:space="preserve">Newsdienst ZD-Aktuell   </t>
  </si>
  <si>
    <t>NLPEPS</t>
  </si>
  <si>
    <t>Newsletter beck-personal-portal</t>
  </si>
  <si>
    <t>ELAGES</t>
  </si>
  <si>
    <t xml:space="preserve">eLearning Ausb. SteuerR gesamt </t>
  </si>
  <si>
    <t>FDPREM</t>
  </si>
  <si>
    <t xml:space="preserve">beck-fachdienst PREMIUM   </t>
  </si>
  <si>
    <t>ELAUST</t>
  </si>
  <si>
    <t>eLearning Ausb. SteuerR GK USt</t>
  </si>
  <si>
    <t>ARBRP</t>
  </si>
  <si>
    <t xml:space="preserve">Zeitschriftenmodul ArbR plus  </t>
  </si>
  <si>
    <t>AVINTRA</t>
  </si>
  <si>
    <t xml:space="preserve">Aushangpfl. Vorschriften ArbR  </t>
  </si>
  <si>
    <t>NIP</t>
  </si>
  <si>
    <t xml:space="preserve">Nipperdey plus   </t>
  </si>
  <si>
    <t>NZVP</t>
  </si>
  <si>
    <t xml:space="preserve">Zeitschriftenmodul NZV Plus  </t>
  </si>
  <si>
    <t>ELAKST</t>
  </si>
  <si>
    <t>eLearning Ausb. SteuerR GK KöSt</t>
  </si>
  <si>
    <t>ELAGWK</t>
  </si>
  <si>
    <t>eLearning Ausb. SteuerR GK Gewinn</t>
  </si>
  <si>
    <t>ELFKONZ</t>
  </si>
  <si>
    <t xml:space="preserve">eLearning Fortb. SteuerR KonzStR </t>
  </si>
  <si>
    <t>ADAJURP</t>
  </si>
  <si>
    <t xml:space="preserve">Juristische Datenbank ADAC  </t>
  </si>
  <si>
    <t>ELAEST</t>
  </si>
  <si>
    <t>eLearning Ausb. SteuerR GK ESt</t>
  </si>
  <si>
    <t>ELFBIL</t>
  </si>
  <si>
    <t xml:space="preserve">eLearning Fortbildung i. SteuerR </t>
  </si>
  <si>
    <t>KOHOR</t>
  </si>
  <si>
    <t xml:space="preserve">Kommentarmodul Heise Online-Recht  </t>
  </si>
  <si>
    <t>REFBYB</t>
  </si>
  <si>
    <t xml:space="preserve">BO Bayern Rechtsreferendariat  </t>
  </si>
  <si>
    <t>VPBREM</t>
  </si>
  <si>
    <t xml:space="preserve">Vorschriftenportal Bremen   </t>
  </si>
  <si>
    <t>DGHGR</t>
  </si>
  <si>
    <t>Fachmod Handels- u.GesR de Gruyter</t>
  </si>
  <si>
    <t>DGINSR</t>
  </si>
  <si>
    <t xml:space="preserve">Fachmod Insolvenzrecht de Gruyter </t>
  </si>
  <si>
    <t>BERPBY</t>
  </si>
  <si>
    <t xml:space="preserve">Kundenmodul BeamtenR Plus Bayern </t>
  </si>
  <si>
    <t>REFRPF</t>
  </si>
  <si>
    <t xml:space="preserve">BO Rh.-Pf. Rechtsreferendariat  </t>
  </si>
  <si>
    <t>STAUDGP</t>
  </si>
  <si>
    <t xml:space="preserve">Modul Staudinger gesamt  </t>
  </si>
  <si>
    <t>REFLSA</t>
  </si>
  <si>
    <t xml:space="preserve">Sachsen-Anhalt Rechtsferendariat   </t>
  </si>
  <si>
    <t>EVISBLN</t>
  </si>
  <si>
    <t xml:space="preserve">Vorschriftenportal Berlin   </t>
  </si>
  <si>
    <t>FJAZIV</t>
  </si>
  <si>
    <t>Forum JA PREM Grundmodul ZivilR</t>
  </si>
  <si>
    <t>VAMCWP</t>
  </si>
  <si>
    <t xml:space="preserve">Vahlen ZS-Modul Marketing Control </t>
  </si>
  <si>
    <t>FJAP</t>
  </si>
  <si>
    <t xml:space="preserve">Forum Junge Anwaltschaft PLUS </t>
  </si>
  <si>
    <t>DVEVSTAUD</t>
  </si>
  <si>
    <t xml:space="preserve">DVErweiterungsmodul Staudinger   </t>
  </si>
  <si>
    <t>BOVWRP</t>
  </si>
  <si>
    <t xml:space="preserve">Fachmodul VerwaltungsR plus (alt) </t>
  </si>
  <si>
    <t>VABWP</t>
  </si>
  <si>
    <t xml:space="preserve">Betriebswirtschaft Plus   </t>
  </si>
  <si>
    <t>FJASTV</t>
  </si>
  <si>
    <t>Forum JA PREM Erg.modul StVR</t>
  </si>
  <si>
    <t>FJAST</t>
  </si>
  <si>
    <t>Forum JA PREM Erg.modul StrafR</t>
  </si>
  <si>
    <t>FJAMW</t>
  </si>
  <si>
    <t>Forum JA PREM Erg.modul MietWEGR</t>
  </si>
  <si>
    <t>FJAFAMERB</t>
  </si>
  <si>
    <t>Forum JA PREM Erg.mod. FamErbR</t>
  </si>
  <si>
    <t>FJAARB</t>
  </si>
  <si>
    <t>Forum JA PREM Erg.modul ArbR</t>
  </si>
  <si>
    <t>FJAHGR</t>
  </si>
  <si>
    <t>Forum JA PREM Erg.m. HandelsGesR</t>
  </si>
  <si>
    <t>FJABAU</t>
  </si>
  <si>
    <t>Forum JA PREM Erg.modul BauR</t>
  </si>
  <si>
    <t>FJAAWR</t>
  </si>
  <si>
    <t xml:space="preserve">FJA PREM Erg.modul Anwaltsrecht </t>
  </si>
  <si>
    <t>ISTRP</t>
  </si>
  <si>
    <t xml:space="preserve">IStR plus   </t>
  </si>
  <si>
    <t>FJASOZ</t>
  </si>
  <si>
    <t>Forum JA PREM Erg.modul SozR</t>
  </si>
  <si>
    <t>IILRP</t>
  </si>
  <si>
    <t xml:space="preserve">IILR plus   </t>
  </si>
  <si>
    <t>BDTVÖDD</t>
  </si>
  <si>
    <t xml:space="preserve">TVöDDirekt    </t>
  </si>
  <si>
    <t>NZBZFBRP</t>
  </si>
  <si>
    <t xml:space="preserve">NZBau + ZfBR plus </t>
  </si>
  <si>
    <t>FJAVW</t>
  </si>
  <si>
    <t>Forum JA PREM Erg.modul VerwR</t>
  </si>
  <si>
    <t>BKRP</t>
  </si>
  <si>
    <t>Internet Volltext Service BKR (BKRP</t>
  </si>
  <si>
    <t>NOAWARB</t>
  </si>
  <si>
    <t xml:space="preserve"> NomosOnl Anwalt Komm ArbR</t>
  </si>
  <si>
    <t>NOAWFAM</t>
  </si>
  <si>
    <t xml:space="preserve">NomosOnl Anwalt Komm FamilienR </t>
  </si>
  <si>
    <t>NOAWGST</t>
  </si>
  <si>
    <t xml:space="preserve"> NomosOnl Anwalt Komm Ges</t>
  </si>
  <si>
    <t>NOAWVWR</t>
  </si>
  <si>
    <t xml:space="preserve"> NomosOnl Anwalt Komm VWR</t>
  </si>
  <si>
    <t>NOAWSGBIII</t>
  </si>
  <si>
    <t xml:space="preserve"> NomosOnl Anwalt Komm SGBIII</t>
  </si>
  <si>
    <t>NOAWAUSLR</t>
  </si>
  <si>
    <t xml:space="preserve">NomosOnl Anwalt KommAuslR  </t>
  </si>
  <si>
    <t>NOAWSGBII</t>
  </si>
  <si>
    <t xml:space="preserve">NomosOnl Anwalt Komm SGBII </t>
  </si>
  <si>
    <t>NOAWUWG</t>
  </si>
  <si>
    <t xml:space="preserve">NomosOnl Anwalt Komm UWG </t>
  </si>
  <si>
    <t>NOAWSTGB</t>
  </si>
  <si>
    <t xml:space="preserve"> NomosOnl Anwalt Komm STGB</t>
  </si>
  <si>
    <t>OKUW</t>
  </si>
  <si>
    <t xml:space="preserve">BeckOK Umweltrecht   </t>
  </si>
  <si>
    <t>NOAWSGBXII</t>
  </si>
  <si>
    <t xml:space="preserve">NomosOnl Anwalt Komm SGBXII </t>
  </si>
  <si>
    <t>NOAWVVG</t>
  </si>
  <si>
    <t xml:space="preserve">NomosOnl Anwalt Komm VVG </t>
  </si>
  <si>
    <t>NOAWFAMFR</t>
  </si>
  <si>
    <t xml:space="preserve">NomosOnl Anwalt Komm FamilienV </t>
  </si>
  <si>
    <t>NOAWGMBH</t>
  </si>
  <si>
    <t xml:space="preserve"> NomosOnl Anwalt Komm GmbHG</t>
  </si>
  <si>
    <t>ELAVFR</t>
  </si>
  <si>
    <t>eLearning Ausb. SteuerR GK VerfaR</t>
  </si>
  <si>
    <t>NOAWZV</t>
  </si>
  <si>
    <t xml:space="preserve"> NomosOnl Anwalt Komm ZV</t>
  </si>
  <si>
    <t>NOAWBETRVG</t>
  </si>
  <si>
    <t xml:space="preserve">NomosOnl Anwalt Komm BetrVG </t>
  </si>
  <si>
    <t>BONOAM</t>
  </si>
  <si>
    <t xml:space="preserve">NomosOnline Arbeitnehmermandat   </t>
  </si>
  <si>
    <t>BOHGRPREM</t>
  </si>
  <si>
    <t xml:space="preserve">Fachmodul Handels/GesR alt  </t>
  </si>
  <si>
    <t>ELSTRA</t>
  </si>
  <si>
    <t xml:space="preserve">eLearning Steuerrecht Ausbildung  </t>
  </si>
  <si>
    <t>ARBRO</t>
  </si>
  <si>
    <t xml:space="preserve">ArbR - Arbeitsrecht Aktuell </t>
  </si>
  <si>
    <t>AVGEBRVG</t>
  </si>
  <si>
    <t xml:space="preserve">GebührenR Dt. Anwaltverl. RVGre </t>
  </si>
  <si>
    <t>BDSTD</t>
  </si>
  <si>
    <t xml:space="preserve">Steuer Direkt   </t>
  </si>
  <si>
    <t>BDSTVD</t>
  </si>
  <si>
    <t xml:space="preserve">Straßenverkehr direkt   </t>
  </si>
  <si>
    <t>BOAKAD</t>
  </si>
  <si>
    <t xml:space="preserve">Beck Akademie Modul  </t>
  </si>
  <si>
    <t>BOT</t>
  </si>
  <si>
    <t xml:space="preserve">beck online Treffer  </t>
  </si>
  <si>
    <t>CONAR</t>
  </si>
  <si>
    <t xml:space="preserve">Controlling Archiv   </t>
  </si>
  <si>
    <t>DRIZDIR</t>
  </si>
  <si>
    <t xml:space="preserve">DRiZ Direkt   </t>
  </si>
  <si>
    <t>DUER115</t>
  </si>
  <si>
    <t>DürigDirekt115</t>
  </si>
  <si>
    <t>DUER116</t>
  </si>
  <si>
    <t>DUER117</t>
  </si>
  <si>
    <t>DUER118</t>
  </si>
  <si>
    <t>DUER119</t>
  </si>
  <si>
    <t>DUER120</t>
  </si>
  <si>
    <t>DUER121</t>
  </si>
  <si>
    <t>DUER122</t>
  </si>
  <si>
    <t>DUER123</t>
  </si>
  <si>
    <t>DUER124</t>
  </si>
  <si>
    <t>DUER125</t>
  </si>
  <si>
    <t>DUERDIR</t>
  </si>
  <si>
    <t>ELFBIL2</t>
  </si>
  <si>
    <t xml:space="preserve">eLearningSteuerR Fortb.Bilanz.II   </t>
  </si>
  <si>
    <t>500688 (eingestellt)</t>
  </si>
  <si>
    <t>ELSTRGES</t>
  </si>
  <si>
    <t>EWERKDIR</t>
  </si>
  <si>
    <t xml:space="preserve">EWeRK Direkt (Nomos)  </t>
  </si>
  <si>
    <t>FAMFRO</t>
  </si>
  <si>
    <t xml:space="preserve">FamFR online   </t>
  </si>
  <si>
    <t>FDDSTR</t>
  </si>
  <si>
    <t xml:space="preserve">beck-fachdienst DStR   </t>
  </si>
  <si>
    <t>FDSTR</t>
  </si>
  <si>
    <t xml:space="preserve">beck-fachdienst Steuerrecht   </t>
  </si>
  <si>
    <t>FORMDS1</t>
  </si>
  <si>
    <t xml:space="preserve">Formularhandbuch DatenschutzR   </t>
  </si>
  <si>
    <t>FORMRS8</t>
  </si>
  <si>
    <t xml:space="preserve">Formularbuch Recht&amp;Steuern 8.A.  </t>
  </si>
  <si>
    <t>FORMRSBUCH</t>
  </si>
  <si>
    <t xml:space="preserve">FormularB Recht u Steuern </t>
  </si>
  <si>
    <t>GRURPXO</t>
  </si>
  <si>
    <t xml:space="preserve">GRUR-Prax online   </t>
  </si>
  <si>
    <t>GUPDIR</t>
  </si>
  <si>
    <t xml:space="preserve">GuP Direkt (Nomos)  </t>
  </si>
  <si>
    <t>GWRO</t>
  </si>
  <si>
    <t xml:space="preserve">GWR online   </t>
  </si>
  <si>
    <t>IWRZDIR</t>
  </si>
  <si>
    <t xml:space="preserve">IWRZ Direkt   </t>
  </si>
  <si>
    <t>JADIR</t>
  </si>
  <si>
    <t xml:space="preserve">JA Direkt   </t>
  </si>
  <si>
    <t>JUSDIR</t>
  </si>
  <si>
    <t xml:space="preserve">JuSDirekt    </t>
  </si>
  <si>
    <t>JUSP</t>
  </si>
  <si>
    <t>JuS Studium</t>
  </si>
  <si>
    <t>KOEKP</t>
  </si>
  <si>
    <t>Erfurter Kommentar</t>
  </si>
  <si>
    <t>KOMMJURDIR</t>
  </si>
  <si>
    <t xml:space="preserve">KommJurDirekt    </t>
  </si>
  <si>
    <t>KOMMJURP</t>
  </si>
  <si>
    <t xml:space="preserve">Zeitschriftenmodul KommJur plus  </t>
  </si>
  <si>
    <t>KUEDIR12</t>
  </si>
  <si>
    <t xml:space="preserve">Küttner Direkt 2012  </t>
  </si>
  <si>
    <t>KUEDIR13</t>
  </si>
  <si>
    <t>KüttnerDirekt 2013</t>
  </si>
  <si>
    <t>KUEDIR14</t>
  </si>
  <si>
    <t>KüttnerDirekt 2014</t>
  </si>
  <si>
    <t>KUEDIR15</t>
  </si>
  <si>
    <t xml:space="preserve">Küttner Direkt 2015  </t>
  </si>
  <si>
    <t>KUEDIR16</t>
  </si>
  <si>
    <t xml:space="preserve">Küttner Direkt 2016  </t>
  </si>
  <si>
    <t>LKRZDIR</t>
  </si>
  <si>
    <t xml:space="preserve">LKRZDirekt    </t>
  </si>
  <si>
    <t>LKVDIR</t>
  </si>
  <si>
    <t xml:space="preserve">LKVDirekt    </t>
  </si>
  <si>
    <t>MARAR</t>
  </si>
  <si>
    <t xml:space="preserve">Marketing ZFP Archiv  </t>
  </si>
  <si>
    <t>MMRDIR</t>
  </si>
  <si>
    <t xml:space="preserve">MMR Direkt   </t>
  </si>
  <si>
    <t>MPRDIR</t>
  </si>
  <si>
    <t xml:space="preserve">MPR Direkt (Nomos)  </t>
  </si>
  <si>
    <t>MWSTRO</t>
  </si>
  <si>
    <t xml:space="preserve">MwStR Online   </t>
  </si>
  <si>
    <t>NDCCZ</t>
  </si>
  <si>
    <t xml:space="preserve">Newsdienst Compliance   </t>
  </si>
  <si>
    <t>NIP100</t>
  </si>
  <si>
    <t xml:space="preserve">NipperdeyDirekt 100. EL  </t>
  </si>
  <si>
    <t>NIP101</t>
  </si>
  <si>
    <t>NIP102</t>
  </si>
  <si>
    <t>NIP103</t>
  </si>
  <si>
    <t>NIP104</t>
  </si>
  <si>
    <t>NIP105</t>
  </si>
  <si>
    <t>NIP106</t>
  </si>
  <si>
    <t>NIP107</t>
  </si>
  <si>
    <t>NIP108</t>
  </si>
  <si>
    <t>NIP109</t>
  </si>
  <si>
    <t>NIP110</t>
  </si>
  <si>
    <t>NIP111</t>
  </si>
  <si>
    <t>NIP112</t>
  </si>
  <si>
    <t>NIP113</t>
  </si>
  <si>
    <t>NIP114</t>
  </si>
  <si>
    <t>NIP115</t>
  </si>
  <si>
    <t>NJWDIR</t>
  </si>
  <si>
    <t xml:space="preserve">NJWDirekt    </t>
  </si>
  <si>
    <t>NOAWPFLTR</t>
  </si>
  <si>
    <t xml:space="preserve"> NomosOnl Anwalt Komm PfltR</t>
  </si>
  <si>
    <t>NOFZPO3</t>
  </si>
  <si>
    <t xml:space="preserve">Nomos Prozessform.buch ZPO 3.A. </t>
  </si>
  <si>
    <t>NOKOHSRB</t>
  </si>
  <si>
    <t xml:space="preserve">Nomos HB SozialRBeratg.  </t>
  </si>
  <si>
    <t>NOKOHSRB4</t>
  </si>
  <si>
    <t xml:space="preserve">Nomos Hdb.SozialRberatung 4.A.  </t>
  </si>
  <si>
    <t>NOKONKBGB</t>
  </si>
  <si>
    <t xml:space="preserve">Nomos Kommentarmodul NK-BGB  </t>
  </si>
  <si>
    <t>NONJO</t>
  </si>
  <si>
    <t xml:space="preserve">NJ Online   </t>
  </si>
  <si>
    <t>NORDOERDIR</t>
  </si>
  <si>
    <t xml:space="preserve">NordÖRDirekt    </t>
  </si>
  <si>
    <t>NPORDIR</t>
  </si>
  <si>
    <t xml:space="preserve">npoR Direkt   </t>
  </si>
  <si>
    <t>NVZP</t>
  </si>
  <si>
    <t xml:space="preserve">ZS-Modul NVersZ plus  </t>
  </si>
  <si>
    <t>NZFAMO</t>
  </si>
  <si>
    <t xml:space="preserve">NZFam Online   </t>
  </si>
  <si>
    <t>NZKARTDIR</t>
  </si>
  <si>
    <t xml:space="preserve">NZKart Direkt   </t>
  </si>
  <si>
    <t>NZWISTDIR</t>
  </si>
  <si>
    <t xml:space="preserve">Direkt    </t>
  </si>
  <si>
    <t>ÖBRP</t>
  </si>
  <si>
    <t>ÖffBauR Letter</t>
  </si>
  <si>
    <t>OEATO</t>
  </si>
  <si>
    <t xml:space="preserve">ÖAT online   </t>
  </si>
  <si>
    <t>OKGBO</t>
  </si>
  <si>
    <t xml:space="preserve">BeckOK Grundbuchordnung   </t>
  </si>
  <si>
    <t>OKGEW</t>
  </si>
  <si>
    <t xml:space="preserve">BeckOK Gewerberecht   </t>
  </si>
  <si>
    <t>OKGG</t>
  </si>
  <si>
    <t xml:space="preserve">BeckOK Grundgesetz   </t>
  </si>
  <si>
    <t>OKÖBAU</t>
  </si>
  <si>
    <t xml:space="preserve">BeckOK Öffentliches BauR  </t>
  </si>
  <si>
    <t>RDTWDIR</t>
  </si>
  <si>
    <t xml:space="preserve">RdTW Direkt   </t>
  </si>
  <si>
    <t>RUSDIR</t>
  </si>
  <si>
    <t xml:space="preserve">r+s Direkt   </t>
  </si>
  <si>
    <t>SPAO</t>
  </si>
  <si>
    <t xml:space="preserve">SPA Online (Zeitschriftenarchiv)  </t>
  </si>
  <si>
    <t>SRADIR</t>
  </si>
  <si>
    <t xml:space="preserve">SRa Direkt (Nomos)  </t>
  </si>
  <si>
    <t>STAUFAMP</t>
  </si>
  <si>
    <t xml:space="preserve">Staudinger Familienrecht plus  </t>
  </si>
  <si>
    <t>STEUKO</t>
  </si>
  <si>
    <t xml:space="preserve">SteuK online   </t>
  </si>
  <si>
    <t>SVDIR</t>
  </si>
  <si>
    <t xml:space="preserve">DS Direkt   </t>
  </si>
  <si>
    <t>SVRDIR</t>
  </si>
  <si>
    <t xml:space="preserve">SVR Direkt (Nomos)  </t>
  </si>
  <si>
    <t>WEYP</t>
  </si>
  <si>
    <t xml:space="preserve">Weyand, Vergaberecht beck-online  </t>
  </si>
  <si>
    <t>WISTAR</t>
  </si>
  <si>
    <t xml:space="preserve">WiST Archiv   </t>
  </si>
  <si>
    <t>ZARDIR</t>
  </si>
  <si>
    <t xml:space="preserve">ZAR Direkt (Nomos)  </t>
  </si>
  <si>
    <t>ZDDIR</t>
  </si>
  <si>
    <t xml:space="preserve">ZDDirekt    </t>
  </si>
  <si>
    <t>ZFPWDIR</t>
  </si>
  <si>
    <t xml:space="preserve">ZfPW Direkt   </t>
  </si>
  <si>
    <t>ZSTVDIR</t>
  </si>
  <si>
    <t xml:space="preserve">ZStV Direkt (Nomos)  </t>
  </si>
  <si>
    <t>ZURDIR</t>
  </si>
  <si>
    <t xml:space="preserve">ZUR Direkt (Nomos)  </t>
  </si>
  <si>
    <t>ZVRDIR</t>
  </si>
  <si>
    <t xml:space="preserve">ZVertriebsR Direkt   </t>
  </si>
  <si>
    <t>ZWEDIR</t>
  </si>
  <si>
    <t xml:space="preserve">ZWE Direkt   </t>
  </si>
  <si>
    <t>STEUKP</t>
  </si>
  <si>
    <t xml:space="preserve">Zeitschriftenmodul SteuK Grosskd  </t>
  </si>
  <si>
    <t>ELSTRF</t>
  </si>
  <si>
    <t xml:space="preserve">eLearning Steuerrecht Fortbildung  </t>
  </si>
  <si>
    <t>RDAP</t>
  </si>
  <si>
    <t xml:space="preserve">Zeitschriftenmodul RDA plus  </t>
  </si>
  <si>
    <t>NOAWFAMGKG</t>
  </si>
  <si>
    <t xml:space="preserve"> NomosOnl Anwalt Komm FamGKG</t>
  </si>
  <si>
    <t>NOAWHGB</t>
  </si>
  <si>
    <t xml:space="preserve"> NomosOnl Anwalt Komm HGB</t>
  </si>
  <si>
    <t>NSTZNZVP</t>
  </si>
  <si>
    <t xml:space="preserve"> ZS-Modul NStZ/NZV plus </t>
  </si>
  <si>
    <t>VABWPREM</t>
  </si>
  <si>
    <t xml:space="preserve">Betriebswirtschaft Premium   </t>
  </si>
  <si>
    <t>NOAWPREM</t>
  </si>
  <si>
    <t xml:space="preserve">NomosOnline Anwalt komplett  </t>
  </si>
  <si>
    <t>BCDIR</t>
  </si>
  <si>
    <t xml:space="preserve">BC Direkt   </t>
  </si>
  <si>
    <t>BRZDIR</t>
  </si>
  <si>
    <t>BC BeckDirekt (Bestandskunden)</t>
  </si>
  <si>
    <t>FDFAM</t>
  </si>
  <si>
    <t>beck-fachdienst Familienrecht (bis 09/2009)</t>
  </si>
  <si>
    <t>FDGRS</t>
  </si>
  <si>
    <t>beck-fachdienst Gewerblicher Rechtsschutz</t>
  </si>
  <si>
    <t>FDHGR</t>
  </si>
  <si>
    <t>beck-fachdienst Handels- und Gesellschaftsrecht (bis 02/2009)</t>
  </si>
  <si>
    <t>FDMA</t>
  </si>
  <si>
    <t>beck-fachdienst Mergers &amp; Acquisitions (bis 03/2009)</t>
  </si>
  <si>
    <t>FDUW</t>
  </si>
  <si>
    <t>beck-fachdienst UW</t>
  </si>
  <si>
    <t>BOMOBILE</t>
  </si>
  <si>
    <t>beck-mobile</t>
  </si>
  <si>
    <t>OGKAERBR</t>
  </si>
  <si>
    <t>BeckOGK Auszug Erbrecht (in Vorbereitung)</t>
  </si>
  <si>
    <t>OGKAFAMR</t>
  </si>
  <si>
    <t>BeckOGK Auszug Familienrecht (in Vorbereitung)</t>
  </si>
  <si>
    <t>KOBAMP</t>
  </si>
  <si>
    <t>BeckOK BGB (Bamberger/Roth)</t>
  </si>
  <si>
    <t>BOKPL</t>
  </si>
  <si>
    <t>beck-online SPEZIALTITEL Recht</t>
  </si>
  <si>
    <t>BOKPLS</t>
  </si>
  <si>
    <t>BOOPTM</t>
  </si>
  <si>
    <t>OPTIMUM</t>
  </si>
  <si>
    <t>OKARB</t>
  </si>
  <si>
    <t>Beck'scher Online-Kommentar Arbeitsrecht</t>
  </si>
  <si>
    <t>OKBGB</t>
  </si>
  <si>
    <t>Beck'scher Online-Kommentar BGB</t>
  </si>
  <si>
    <t>OKFAMFG</t>
  </si>
  <si>
    <t>Beck'scher Online-Kommentar FamFG</t>
  </si>
  <si>
    <t>OKGMBH</t>
  </si>
  <si>
    <t>Beck'scher Online-Kommentar GmbHG</t>
  </si>
  <si>
    <t>OKHGB</t>
  </si>
  <si>
    <t>Beck'scher Online-Kommentar HGB</t>
  </si>
  <si>
    <t>OKKOSTR</t>
  </si>
  <si>
    <t>Beck'scher Online-Kommentar Kostenrecht</t>
  </si>
  <si>
    <t>OKPREM</t>
  </si>
  <si>
    <t>Beck'scher Online-Kommentar PREMIUM</t>
  </si>
  <si>
    <t>OKRVG</t>
  </si>
  <si>
    <t>Beck'scher Online-Kommentar RVG</t>
  </si>
  <si>
    <t>OKSOZ</t>
  </si>
  <si>
    <t>Beck'scher Online-Kommentar Sozialrecht</t>
  </si>
  <si>
    <t>OKSTGB</t>
  </si>
  <si>
    <t>Beck'scher Online-Kommentar StGB</t>
  </si>
  <si>
    <t>OKSTPO</t>
  </si>
  <si>
    <t>Beck'scher Online-Kommentar StPO</t>
  </si>
  <si>
    <t>OKVOLLZ</t>
  </si>
  <si>
    <t>Beck'scher Online-Kommentar Strafvollzug</t>
  </si>
  <si>
    <t>OKSTREIT</t>
  </si>
  <si>
    <t>Beck'scher Online-Kommentar Streitwert</t>
  </si>
  <si>
    <t>OKTVL</t>
  </si>
  <si>
    <t>Beck'scher Online-Kommentar TV-L</t>
  </si>
  <si>
    <t>OKTVÖD</t>
  </si>
  <si>
    <t>Beck'scher Online-Kommentar TVöD</t>
  </si>
  <si>
    <t>OKURHR</t>
  </si>
  <si>
    <t>Beck'scher Online-Kommentar Urheberrecht</t>
  </si>
  <si>
    <t>OKVOBB</t>
  </si>
  <si>
    <t>Beck'scher Online-Kommentar VOB/B</t>
  </si>
  <si>
    <t>OKVWGO</t>
  </si>
  <si>
    <t>Beck'scher Online-Kommentar VwGO</t>
  </si>
  <si>
    <t>OKVWVFG</t>
  </si>
  <si>
    <t>Beck'scher Online-Kommentar VwVfG</t>
  </si>
  <si>
    <t>OKWEG</t>
  </si>
  <si>
    <t>Beck'scher Online-Kommentar WEG</t>
  </si>
  <si>
    <t>BTPREM</t>
  </si>
  <si>
    <t>Beck-Texte.PREMIUM</t>
  </si>
  <si>
    <t>BFHRICHTER</t>
  </si>
  <si>
    <t>BGHDVD</t>
  </si>
  <si>
    <t>BGH-Entscheidungen DVD</t>
  </si>
  <si>
    <t>CCZDIR</t>
  </si>
  <si>
    <t>CCZDirekt</t>
  </si>
  <si>
    <t>CONSP</t>
  </si>
  <si>
    <t>Consbruch PLUS</t>
  </si>
  <si>
    <t>VACONP</t>
  </si>
  <si>
    <t>Controlling</t>
  </si>
  <si>
    <t>DNOTDVD</t>
  </si>
  <si>
    <t>Deutsche Notarzeitschriften DVD</t>
  </si>
  <si>
    <t>NOKOGST3</t>
  </si>
  <si>
    <t>Dölling/Duttge/Rössner, Gesamtes Strafrecht, 3. Auflage</t>
  </si>
  <si>
    <t>DRIZAPP</t>
  </si>
  <si>
    <t>DRiZ App</t>
  </si>
  <si>
    <t>DSTRP</t>
  </si>
  <si>
    <t>DStR PLUS</t>
  </si>
  <si>
    <t>ELFUM</t>
  </si>
  <si>
    <t>eLearning Steuerrecht Fortbildung - Umstrukturierung</t>
  </si>
  <si>
    <t>ELSTTS</t>
  </si>
  <si>
    <t>GEVSBLN</t>
  </si>
  <si>
    <t>Elektronisches Vorschrifteninformationsystem des Landes Berlin</t>
  </si>
  <si>
    <t>EUZAP</t>
  </si>
  <si>
    <t>EuZA</t>
  </si>
  <si>
    <t>NOKOSKARB</t>
  </si>
  <si>
    <t>Grobys/Panzer SWK Arbeitsrecht</t>
  </si>
  <si>
    <t>IMMDAT13</t>
  </si>
  <si>
    <t>IMM-DAT 2013</t>
  </si>
  <si>
    <t>IMMDAT14</t>
  </si>
  <si>
    <t>IMM-DAT 2014</t>
  </si>
  <si>
    <t>IMMDAT15</t>
  </si>
  <si>
    <t>IMM-DAT 2015</t>
  </si>
  <si>
    <t>IMMDAT16</t>
  </si>
  <si>
    <t>IMM-DAT 2016</t>
  </si>
  <si>
    <t>JUBZPREM</t>
  </si>
  <si>
    <t>Justiz-Beraterzeitschriften PREMIUM</t>
  </si>
  <si>
    <t>JUOKGBO</t>
  </si>
  <si>
    <t>Justiz-Kommentarmodul BeckOK GBO</t>
  </si>
  <si>
    <t>JUERBS</t>
  </si>
  <si>
    <t>Justiz-Kommentarmodul Erbs/Kohlhaas</t>
  </si>
  <si>
    <t>JUGEIGEL</t>
  </si>
  <si>
    <t>Justiz-Kommentarmodul Geigel</t>
  </si>
  <si>
    <t>LFBP</t>
  </si>
  <si>
    <t>Landesrecht Freistaat Bayern Texte</t>
  </si>
  <si>
    <t>VAMARP</t>
  </si>
  <si>
    <t>Marketing</t>
  </si>
  <si>
    <t>NDNZWIST</t>
  </si>
  <si>
    <t>Newsdienst NZWiSt-Aktuell</t>
  </si>
  <si>
    <t>NJWAPP</t>
  </si>
  <si>
    <t>NJW iPad App</t>
  </si>
  <si>
    <t>NJWALP</t>
  </si>
  <si>
    <t>NJW kompakt Assessor</t>
  </si>
  <si>
    <t>NORDÖR</t>
  </si>
  <si>
    <t>NordÖR PLUS</t>
  </si>
  <si>
    <t>SCHWACKE</t>
  </si>
  <si>
    <t>Schwacke Arbeitshilfen</t>
  </si>
  <si>
    <t>BOSOZAFP</t>
  </si>
  <si>
    <t>Sozialrecht Arbeitsförderung und Grundsicherung PLUS</t>
  </si>
  <si>
    <t>BOSOZRVP</t>
  </si>
  <si>
    <t>Sozialrecht Rentenversicherung PLUS</t>
  </si>
  <si>
    <t>BOSTRTP</t>
  </si>
  <si>
    <t>Steuerrecht Texte</t>
  </si>
  <si>
    <t>VAWURBM</t>
  </si>
  <si>
    <t>Wirtschaft und Recht BASIS</t>
  </si>
  <si>
    <t>WDBANK</t>
  </si>
  <si>
    <t>Wirtschaftsdatenbank</t>
  </si>
  <si>
    <t>VAWISTP</t>
  </si>
  <si>
    <t>WiSt</t>
  </si>
  <si>
    <t>NOFBGB3</t>
  </si>
  <si>
    <t>Schulze/Grziwotz/Lauda, BGB Kommentiertes Vertrags- und Prozessformularbuch, 3. Aufl.</t>
  </si>
  <si>
    <t>NOHKBGB9</t>
  </si>
  <si>
    <t>Schulze u.a., BGB Handkommentar, 9. Aufl.</t>
  </si>
  <si>
    <t>NIP116</t>
  </si>
  <si>
    <t>WBKETGRS</t>
  </si>
  <si>
    <t>Wörterbuch Kettler Gewerblicher Rechtsschutz</t>
  </si>
  <si>
    <t>KUEDIR17</t>
  </si>
  <si>
    <t>KüttnerDirekt 2017</t>
  </si>
  <si>
    <t>FORMUW4</t>
  </si>
  <si>
    <t>Engl Formularbuch Umwandlungen 4.A</t>
  </si>
  <si>
    <t>NZVDIR</t>
  </si>
  <si>
    <t>NZVDirekt</t>
  </si>
  <si>
    <t>NZSDIR</t>
  </si>
  <si>
    <t>NZSDirekt</t>
  </si>
  <si>
    <t>RNOTZDIR</t>
  </si>
  <si>
    <t>RNotZDirekt</t>
  </si>
  <si>
    <t>AVPREM</t>
  </si>
  <si>
    <t>Anwaltverlag PREMIUM</t>
  </si>
  <si>
    <t>NOKOGST4</t>
  </si>
  <si>
    <t>Dölling/Duttge/König/Rössner, Gesamtes Strafrecht, 4. Auflage</t>
  </si>
  <si>
    <t>FDMGR</t>
  </si>
  <si>
    <t>beck-fachdienst Medizinrecht</t>
  </si>
  <si>
    <t>NOFOBV3</t>
  </si>
  <si>
    <t>Dombeck/Kroiß, Formularbibliothek Vertragsgestaltung, 3. Aufl.</t>
  </si>
  <si>
    <t>NOSKAR3</t>
  </si>
  <si>
    <t>Grobys/Panzer StichwortKommentar Arbeitsrecht</t>
  </si>
  <si>
    <t>FNOHB</t>
  </si>
  <si>
    <t>Farr Niemann QSS - Organisationshandbuch</t>
  </si>
  <si>
    <t>DGVZDIR</t>
  </si>
  <si>
    <t>DGVZ Direkt</t>
  </si>
  <si>
    <t>FORMVU2</t>
  </si>
  <si>
    <t>Hannes, Formularbuch Vermögens- und Unternehmensnachfolge 2. Aufl.</t>
  </si>
  <si>
    <t>NOFOFAMR4</t>
  </si>
  <si>
    <t xml:space="preserve">NomosFormulare Meyer-Götz, Familienrecht 4. Aufl. </t>
  </si>
  <si>
    <t>FORMRS9</t>
  </si>
  <si>
    <t>Formularbuch Recht und Steuern online 9. Aufl.</t>
  </si>
  <si>
    <t>GSZDIR</t>
  </si>
  <si>
    <t>GSZ Direkt</t>
  </si>
  <si>
    <t>NOPPRBAU2</t>
  </si>
  <si>
    <t>NomosPraxis Sonntag, Privates Baurecht 2.Aufl.</t>
  </si>
  <si>
    <t>FORMDS2</t>
  </si>
  <si>
    <t>Formularhandbuch Datenschutzrecht online 2. Aufl.</t>
  </si>
  <si>
    <t>KUEDIR18</t>
  </si>
  <si>
    <t>Küttner Direkt 2018</t>
  </si>
  <si>
    <t>LMKALLAW</t>
  </si>
  <si>
    <t>beck-fachdienst Zivilrecht - LMK Allianz</t>
  </si>
  <si>
    <t>NOFFAMFG2</t>
  </si>
  <si>
    <t>Nomos FamFG Kommentiertes Verfahrensformularbuch 2. Aufl.</t>
  </si>
  <si>
    <t>NOFFDKDS</t>
  </si>
  <si>
    <t>Nomos FF Dokumentation zum Datenschutz mit Informationsfreiheitsrecht</t>
  </si>
  <si>
    <t>NOFOAR9</t>
  </si>
  <si>
    <t>NomosFormulare Hümmerich, Arbeitsrecht 9.Aufl.</t>
  </si>
  <si>
    <t>NOFOWEG3</t>
  </si>
  <si>
    <t>NomosFormulare Wohnungseigentumsrecht 3. Aufl.</t>
  </si>
  <si>
    <t>NOHKKSR6</t>
  </si>
  <si>
    <t>Nomos Handkommentar Kündigungsschutzrecht, 6. Aufl.</t>
  </si>
  <si>
    <t>IRZDIR</t>
  </si>
  <si>
    <t>IRZ Direkt</t>
  </si>
  <si>
    <t>EURDIR</t>
  </si>
  <si>
    <t>EuR Direkt</t>
  </si>
  <si>
    <t>IRDIR</t>
  </si>
  <si>
    <t>IR Direkt</t>
  </si>
  <si>
    <t>NOHKBGB10</t>
  </si>
  <si>
    <t>Nomos BGB Handkommentar, 10. Aufl.</t>
  </si>
  <si>
    <t>NOKONKBGB3</t>
  </si>
  <si>
    <t>Nomos Kommentarmodul NK-BGB Online 3.Aufl.</t>
  </si>
  <si>
    <t>ACODILO</t>
  </si>
  <si>
    <t xml:space="preserve">Dietl/Lorenz-Online  Wörterbuch für Recht, Wirtschaft und Politik   </t>
  </si>
  <si>
    <t>HBLST19</t>
  </si>
  <si>
    <t>Handbuch Lohnsteuer 2019</t>
  </si>
  <si>
    <t>KUEDIR19</t>
  </si>
  <si>
    <t>Küttner Direkt 2019</t>
  </si>
  <si>
    <t>NOFZPO4</t>
  </si>
  <si>
    <t>Nomos Prozessform.buch ZPO 4.A.</t>
  </si>
  <si>
    <t>NOHKZPO8</t>
  </si>
  <si>
    <t>Saenger, Nomos ZPO Handkomm. 8.</t>
  </si>
  <si>
    <t>STVAEST18</t>
  </si>
  <si>
    <t>Steuerveranlagung 2018 – ESt</t>
  </si>
  <si>
    <t>STVAGES18</t>
  </si>
  <si>
    <t>Steuerveranlagung 2018-Gesamtb</t>
  </si>
  <si>
    <t>STVAGWST18</t>
  </si>
  <si>
    <t>Steuerveranlagung 2018–GewSt</t>
  </si>
  <si>
    <t>STVAKST18</t>
  </si>
  <si>
    <t>Steuerveranlagung 2018 – KSt</t>
  </si>
  <si>
    <t>STVAUST18</t>
  </si>
  <si>
    <t>Steuerveranlagung 2018 – USt</t>
  </si>
  <si>
    <t>HBAO19</t>
  </si>
  <si>
    <t>AO-Handbuch 2019 (Inklusivmodul)</t>
  </si>
  <si>
    <t>NZARRDIR</t>
  </si>
  <si>
    <t>NZARR Direkt (Inklusivmodul)</t>
  </si>
  <si>
    <t>INALSODIR</t>
  </si>
  <si>
    <t>info also Direkt</t>
  </si>
  <si>
    <t>ERBRDIR</t>
  </si>
  <si>
    <t>ErbR Direkt</t>
  </si>
  <si>
    <t>TRITRE</t>
  </si>
  <si>
    <t>Orbitax Int. Tax Research Expert</t>
  </si>
  <si>
    <t>CREI23</t>
  </si>
  <si>
    <t>Creifelds Rechtswörterbuch 23. A.</t>
  </si>
  <si>
    <t>HBERBW19</t>
  </si>
  <si>
    <t>Handbuch ErbSt u Bewertung 2019</t>
  </si>
  <si>
    <t>NOFBGB4</t>
  </si>
  <si>
    <t>Nomos BGB Prozessformularb. 4.A.</t>
  </si>
  <si>
    <t>NOFFSLKR</t>
  </si>
  <si>
    <t>Nomos FF Saarländ. KommunalR</t>
  </si>
  <si>
    <t>NOFOMR4</t>
  </si>
  <si>
    <t>Schach/Riecke, Mietrecht 4. Aufl</t>
  </si>
  <si>
    <t>OGKAHGBK</t>
  </si>
  <si>
    <t>BeckOGK HGR Teil 1 (Kernb.)</t>
  </si>
  <si>
    <t>OGKABIR</t>
  </si>
  <si>
    <t>BeckOGK zum BilanzR (HGR Teil 2)</t>
  </si>
  <si>
    <t>ASRDIR</t>
  </si>
  <si>
    <t>ASRDIR ASR Direkt</t>
  </si>
  <si>
    <t>ERBZDIR</t>
  </si>
  <si>
    <t>ERBZDIR ErbbauZ Direkt</t>
  </si>
  <si>
    <t>CAUSADIR</t>
  </si>
  <si>
    <t>CAUSADIR Causa Sport Direkt</t>
  </si>
  <si>
    <t>COVURDIR</t>
  </si>
  <si>
    <t>COVURDIR COVuR Direkt</t>
  </si>
  <si>
    <t>HBLST20</t>
  </si>
  <si>
    <t>HBLST20 Handbuch Lohnsteuer 2020</t>
  </si>
  <si>
    <t>KUEDIR20</t>
  </si>
  <si>
    <t>KUEDIR20 Küttner Direkt 2020</t>
  </si>
  <si>
    <t>NOFOERB4</t>
  </si>
  <si>
    <t>NOFOERB4 Nomos FB Uricher, ErbR 4. Aufl.</t>
  </si>
  <si>
    <t>NZADIR</t>
  </si>
  <si>
    <t>NZADIR NZA Direkt</t>
  </si>
  <si>
    <t>STVAGES19</t>
  </si>
  <si>
    <t>STVAGES19 Steuerveranlagung 2019–Gesamt</t>
  </si>
  <si>
    <t>STVAKST19</t>
  </si>
  <si>
    <t>STVAKST19 Steuerveranlagung 2019 – KSt</t>
  </si>
  <si>
    <t>FORMUW5</t>
  </si>
  <si>
    <t>FORMUW5 Engl, Formularbuch Umwandlungen</t>
  </si>
  <si>
    <t>HBAO20</t>
  </si>
  <si>
    <t>HBAO20 AO-Handbuch 2020 (Inklusivmodul)</t>
  </si>
  <si>
    <t>STVAEST19</t>
  </si>
  <si>
    <t>STVAEST19 Steuerveranlagung 2019 – ESt</t>
  </si>
  <si>
    <t>STVAGWST19</t>
  </si>
  <si>
    <t>STVAGWST19 Steuerveranlagung 2019–GewSt</t>
  </si>
  <si>
    <t>STVAUST19</t>
  </si>
  <si>
    <t>STVAUST19 Steuerveranlagung 2019 – USt</t>
  </si>
  <si>
    <t>BDIGTDIR</t>
  </si>
  <si>
    <t>BDIGTDIR beck.digitax Direkt</t>
  </si>
  <si>
    <t>LMRT20</t>
  </si>
  <si>
    <t>LMRT20 Lebensmittelrecht Texte FF 2020</t>
  </si>
  <si>
    <t>NOIWRZ</t>
  </si>
  <si>
    <t>NOIWRZ IWRZ Direkt (Nomos)</t>
  </si>
  <si>
    <t>NZMDIR</t>
  </si>
  <si>
    <t>NZM Direkt</t>
  </si>
  <si>
    <t>RDIDIR</t>
  </si>
  <si>
    <t>RDi Direkt</t>
  </si>
  <si>
    <t>ANWTBM</t>
  </si>
  <si>
    <t>Anwalt Plus Corona</t>
  </si>
  <si>
    <t>HBERBW20</t>
  </si>
  <si>
    <t>Handbuch Erbschaftsteuer und Bewertung 2020</t>
  </si>
  <si>
    <t>NOHKKSR7</t>
  </si>
  <si>
    <t>Gallner/Mestwerdt/Nägele, Kündigungsschutzrecht, 7. Auflage</t>
  </si>
  <si>
    <t>NOFKSR2</t>
  </si>
  <si>
    <t>Mestwerdt/Spengler/Dubon, Kündigungsschutzrecht, 2. Aufl</t>
  </si>
  <si>
    <t>NOFAAR4</t>
  </si>
  <si>
    <t>Marx, Ausländer- und Asylrecht, 4. Aufl.</t>
  </si>
  <si>
    <t>FORMRS10</t>
  </si>
  <si>
    <t>HBERBW21</t>
  </si>
  <si>
    <t>HBLST21</t>
  </si>
  <si>
    <t>KUEDIR21</t>
  </si>
  <si>
    <t>NOHKZPO9</t>
  </si>
  <si>
    <t>ZEVDIR</t>
  </si>
  <si>
    <t>HBAO21</t>
  </si>
  <si>
    <t>STVAGWKST20</t>
  </si>
  <si>
    <t>STVAUST20</t>
  </si>
  <si>
    <t>NSTZDIR</t>
  </si>
  <si>
    <t>NVWZDIR</t>
  </si>
  <si>
    <t>NVWZMRRDIR</t>
  </si>
  <si>
    <t>EUZWDIR</t>
  </si>
  <si>
    <t>ISTRDIR</t>
  </si>
  <si>
    <t>NZGDIR</t>
  </si>
  <si>
    <t>GEWARDIR</t>
  </si>
  <si>
    <t>LMRT21</t>
  </si>
  <si>
    <t>ZFDRDIR</t>
  </si>
  <si>
    <t>OGKATPR</t>
  </si>
  <si>
    <t>FORMDS3</t>
  </si>
  <si>
    <t>NOFZPO5</t>
  </si>
  <si>
    <t>NOHKBGB11</t>
  </si>
  <si>
    <t>STVAEST20</t>
  </si>
  <si>
    <t>STVAGES20</t>
  </si>
  <si>
    <t>SPOPXDIR</t>
  </si>
  <si>
    <t>LTZDIR</t>
  </si>
  <si>
    <t>ZFPCDIR</t>
  </si>
  <si>
    <t>NOHBTV5</t>
  </si>
  <si>
    <t>CREI24</t>
  </si>
  <si>
    <t>KUEDIR22</t>
  </si>
  <si>
    <t>NOFBZPO4</t>
  </si>
  <si>
    <t>NOFOVR5</t>
  </si>
  <si>
    <t>NOKOGST5</t>
  </si>
  <si>
    <t>STVAGES21</t>
  </si>
  <si>
    <t>STVAEST21</t>
  </si>
  <si>
    <t>STVAGWKST21</t>
  </si>
  <si>
    <t>STVAUST21</t>
  </si>
  <si>
    <t>BTRDIR</t>
  </si>
  <si>
    <t>ESGDIR</t>
  </si>
  <si>
    <t>KLIMRDIR</t>
  </si>
  <si>
    <t>LMRT22</t>
  </si>
  <si>
    <t>RFAMUDIR</t>
  </si>
  <si>
    <t>ZGIDIR</t>
  </si>
  <si>
    <t>NOHKNOT1</t>
  </si>
  <si>
    <t>HBAO22</t>
  </si>
  <si>
    <t>AO-Handbuch 2022</t>
  </si>
  <si>
    <t>HBERBW22</t>
  </si>
  <si>
    <t>Hdb ErbSt u. Bewertung 2022</t>
  </si>
  <si>
    <t>HBLST22</t>
  </si>
  <si>
    <t>Handbuch Lohnsteuer 2022</t>
  </si>
  <si>
    <t>NOFOAR10</t>
  </si>
  <si>
    <t>NomosFormulare Hümmerich, Arbeitsrecht 10. Aufl.</t>
  </si>
  <si>
    <t>NOFOBV4</t>
  </si>
  <si>
    <t>Nomos FormularBibliothek Vertragsgestaltung 4. Aufl.</t>
  </si>
  <si>
    <t>NOFOVW3</t>
  </si>
  <si>
    <t>NomosFormulare Eiding, Verwaltungsrecht 3. Aufl.</t>
  </si>
  <si>
    <t>KUEDIR23</t>
  </si>
  <si>
    <t>KüttnerDirekt 2023</t>
  </si>
  <si>
    <t>STVAGES22</t>
  </si>
  <si>
    <t>Steuerveranlagung 2022 - Gesamtband</t>
  </si>
  <si>
    <t>NOFOERB5</t>
  </si>
  <si>
    <t>Uricher, Erbrecht, 5. Auflage</t>
  </si>
  <si>
    <t>STVAUST22</t>
  </si>
  <si>
    <t>Steuerveranlagung 2022 - UStG</t>
  </si>
  <si>
    <t>DNOTZDIR</t>
  </si>
  <si>
    <t>DNotZDirekt</t>
  </si>
  <si>
    <t>LMRT23</t>
  </si>
  <si>
    <t>SOM23</t>
  </si>
  <si>
    <t>BECKIF</t>
  </si>
  <si>
    <t>Beck'sche Interaktiv-Formulare</t>
  </si>
  <si>
    <t>GRURPATO</t>
  </si>
  <si>
    <t>GRUR Patent Online</t>
  </si>
  <si>
    <t>KOGKUWR</t>
  </si>
  <si>
    <t>beck-online.GROSSKOMMENTAR zum UmwG</t>
  </si>
  <si>
    <t>NOFFAMFG3</t>
  </si>
  <si>
    <t>Kroiß/Siede, FamFG Kommentiertes Vertrags- und Prozessformularbuch, 3. Aufl.</t>
  </si>
  <si>
    <t>STVAEST22</t>
  </si>
  <si>
    <t>Steuerveranlagung 2022 - EStG</t>
  </si>
  <si>
    <t>KAPTAB1</t>
  </si>
  <si>
    <t>Kapitalisierungstabellen</t>
  </si>
  <si>
    <t>STVAGWKST22</t>
  </si>
  <si>
    <t>Steuerveranlagung 2022 - GewStG/KStG</t>
  </si>
  <si>
    <t>ZPGDIR</t>
  </si>
  <si>
    <t>ZPGDirekt</t>
  </si>
  <si>
    <t>UJDIR</t>
  </si>
  <si>
    <t>unternehmensjuristDirekt</t>
  </si>
  <si>
    <t>ZASADIR</t>
  </si>
  <si>
    <t>ZASADirekt</t>
  </si>
  <si>
    <t>HBAO23</t>
  </si>
  <si>
    <t>AO/FGO-Handbuch 2023</t>
  </si>
  <si>
    <t>HBERBW23</t>
  </si>
  <si>
    <t>Handbuch Erbschaftsteuer und Bewertung 2023</t>
  </si>
  <si>
    <t>HBLST23</t>
  </si>
  <si>
    <t>Handbuch Lohnsteuer 2023</t>
  </si>
  <si>
    <t>NOFOWEG4</t>
  </si>
  <si>
    <t>Elzer/Fritsch/Meier, Wohnungseigentumsrecht, 4. Auflage</t>
  </si>
  <si>
    <t>FORMUW6</t>
  </si>
  <si>
    <t>Engl/Fox/Traßl Formularbuch Umwandlungen 6. A</t>
  </si>
  <si>
    <t>KOGKGMBH</t>
  </si>
  <si>
    <t>beck-online.GROSSKOMMENTAR zum GmbH-Recht</t>
  </si>
  <si>
    <t>BAFKBTR1</t>
  </si>
  <si>
    <t>BAFKBTR2</t>
  </si>
  <si>
    <t>BAFKBTR3</t>
  </si>
  <si>
    <t>BAFKBTR4</t>
  </si>
  <si>
    <t>HBAO24</t>
  </si>
  <si>
    <t>HBERBW24</t>
  </si>
  <si>
    <t>HBLST24</t>
  </si>
  <si>
    <t>KUEDIR24</t>
  </si>
  <si>
    <t>LMRT24</t>
  </si>
  <si>
    <t>RUSP</t>
  </si>
  <si>
    <t>SOM24</t>
  </si>
  <si>
    <t>STVAGES23</t>
  </si>
  <si>
    <t>TLJDIR</t>
  </si>
  <si>
    <t>DAVBAU</t>
  </si>
  <si>
    <t>DAVFAMERB</t>
  </si>
  <si>
    <t>DAVHGR</t>
  </si>
  <si>
    <t>DAVMW</t>
  </si>
  <si>
    <t>DAVST</t>
  </si>
  <si>
    <t>DAVSTV</t>
  </si>
  <si>
    <t>DAVVW</t>
  </si>
  <si>
    <t>KIRDIR</t>
  </si>
  <si>
    <t>NOFBGB5</t>
  </si>
  <si>
    <t>STVAEST23</t>
  </si>
  <si>
    <t>DAVARB</t>
  </si>
  <si>
    <t>BAFKBTR5</t>
  </si>
  <si>
    <t>DAVSOZ</t>
  </si>
  <si>
    <t>HDR24</t>
  </si>
  <si>
    <t>NOKOBAUNVO</t>
  </si>
  <si>
    <t>BLALDIR</t>
  </si>
  <si>
    <t>Blutalkohol Direkt</t>
  </si>
  <si>
    <t>DAVAWR</t>
  </si>
  <si>
    <t>DAV PREMIUM Ergänzungsmodul Anwal</t>
  </si>
  <si>
    <t>EUDIRDIR</t>
  </si>
  <si>
    <t>EuDIR Direkt</t>
  </si>
  <si>
    <t>FORMDS4</t>
  </si>
  <si>
    <t>Formularhdb. DatenschutzR 4. A.</t>
  </si>
  <si>
    <t>FORMRS11</t>
  </si>
  <si>
    <t>Formularbuch Recht und Steuern</t>
  </si>
  <si>
    <t>HBAO25</t>
  </si>
  <si>
    <t>Handbuch AO/FGO 2025</t>
  </si>
  <si>
    <t>HBLST25</t>
  </si>
  <si>
    <t>Handbuch Lohnsteuer 2025</t>
  </si>
  <si>
    <t>KOGKAKTR</t>
  </si>
  <si>
    <t>beck-online.GROSSKOMMENTAR AktR</t>
  </si>
  <si>
    <t>KUEDIR25</t>
  </si>
  <si>
    <t>Küttner Direkt 2025 inkl. FDK</t>
  </si>
  <si>
    <t>LMRT25</t>
  </si>
  <si>
    <t>Lebensmittelrecht Texte FF online</t>
  </si>
  <si>
    <t>NOKONKBGB4</t>
  </si>
  <si>
    <t>Nomos Kommentarmodul NK-BGB O</t>
  </si>
  <si>
    <t>RINPRAXDIR</t>
  </si>
  <si>
    <t>RInPrax Direkt</t>
  </si>
  <si>
    <t>RRADIR</t>
  </si>
  <si>
    <t>RRa Direkt</t>
  </si>
  <si>
    <t>SOM25</t>
  </si>
  <si>
    <t>Sosnitza/Meisterernst LMR</t>
  </si>
  <si>
    <t>STVAGES24</t>
  </si>
  <si>
    <t>Steuerveranlagung 2024-Gesamt</t>
  </si>
  <si>
    <t>BORBWP</t>
  </si>
  <si>
    <t>Recht der Bundeswehr PLUS</t>
  </si>
  <si>
    <t>CREI25</t>
  </si>
  <si>
    <t>Weber Rechtswörterbuch 25. Aufl.</t>
  </si>
  <si>
    <t>HBERBW25</t>
  </si>
  <si>
    <t>Hdb. ErbSt u. Bewertung 2025</t>
  </si>
  <si>
    <t>STVAEST24</t>
  </si>
  <si>
    <t>Steuerveranlagung 2024 – EStG</t>
  </si>
  <si>
    <t>HDR25</t>
  </si>
  <si>
    <t>Beck'sches Hdb. d. Rechnungslegung</t>
  </si>
  <si>
    <t>KOGKBIR</t>
  </si>
  <si>
    <t>beck-online.GROSSKOMMENTAR BilR</t>
  </si>
  <si>
    <t>NOFOFAMU1</t>
  </si>
  <si>
    <t>Nomos Formularb. Familienunt.</t>
  </si>
  <si>
    <t>NOFOPC1</t>
  </si>
  <si>
    <t>Nomos Formularb. Product Complia</t>
  </si>
  <si>
    <t>Clustering-Vorschlag beck-online Module 2025</t>
  </si>
  <si>
    <t>Ziel: 380 umsatzrelevante Module in 14 inhaltliche Cluster mit einheitlicher 3er-Logik (PLUS / PREMIUM / OPTIMUM) überführen.</t>
  </si>
  <si>
    <t>Datengrundlage: alle Module mit Umsatz &gt; 0 in 2025. Summe 2025: 238.011,44.</t>
  </si>
  <si>
    <t>Methodik: Modulbezeichnung/Kürzel -&gt; Cluster-Zuordnung -&gt; Prüfung, ob PLUS/PREMIUM/OPTIMUM je Cluster bereits vorhanden sind.</t>
  </si>
  <si>
    <t>Cluster</t>
  </si>
  <si>
    <t>Module mit Umsatz 2025</t>
  </si>
  <si>
    <t>Umsatz 2025</t>
  </si>
  <si>
    <t>PLUS</t>
  </si>
  <si>
    <t>ohne klare Tier-Logik</t>
  </si>
  <si>
    <t>Top-Beispiele</t>
  </si>
  <si>
    <t>3er-Logik vorhanden?</t>
  </si>
  <si>
    <t xml:space="preserve">1. Basis </t>
  </si>
  <si>
    <t>beck-online Rahmenvertrag Bund | Hochschulmodul | Justiz OPTIMUM 2024</t>
  </si>
  <si>
    <t>Ja</t>
  </si>
  <si>
    <t>2. Steuer</t>
  </si>
  <si>
    <t>Fachmodul Steuerberater OPTIMUM (BOSTROPT) | Fachmodul Steuerrecht PREMIUM International (BOSTRINT) | Fachmodul Steuerrecht PREMIUM (BOSTRPREM)</t>
  </si>
  <si>
    <t>3. Arbeitsrecht</t>
  </si>
  <si>
    <t>Fachmodul Arbeitsrecht OPTIMUM  | Fachmodul Arbeitsrecht PREMIUM (BOARBPREM) | Fachmodul Arbeitsrecht PLUS (BOARBP)</t>
  </si>
  <si>
    <t>4. Zivilrecht &amp; Verfahren</t>
  </si>
  <si>
    <t>Fachmodul Zivilrecht PLUS (BOZIVP) | Fachmodul Zivilrecht PREMIUM (BOZIVPREM) | BeckOGK GROSSKOMMENTAR zum Zivilrecht</t>
  </si>
  <si>
    <t>5. Handels-, Gesellschaftsrecht &amp; M&amp;A</t>
  </si>
  <si>
    <t>Fachmodul Handels- und Gesellschaftsrecht OPTIMUM (BOHGROPT) | Fachmodul Handels- und Gesellschaftsrecht PREMIUM (BOHGRPRN) | Fachmodul Handels- und Gesellschaftsrecht PLUS (BOHGRP)</t>
  </si>
  <si>
    <t>6. Bank-, Kapitalmarkt- &amp; Versicherungsrecht</t>
  </si>
  <si>
    <t>Fachmodul Bank- und Kapitalmarktrecht PREMIUM | Versicherungsrecht OPTIMUM | Fachmodul Versicherungsrecht PREMIUM (BOVERSPREM)</t>
  </si>
  <si>
    <t>7. IP, IT, Medien, Datenschutz &amp; Compliance</t>
  </si>
  <si>
    <t>Fachmodul Datenschutz- und Informationsfreiheitsrecht PREMIUM | Fachmodul Gewerblicher Rechtsschutz PREMIUM | beck-online Fachmodul IT- und Multimediarecht PREMIUM</t>
  </si>
  <si>
    <t>8. Öffentliches Recht &amp; Verwaltung</t>
  </si>
  <si>
    <t>Fachmodul Öffentliches Baurecht PLUS (BOÖBAUP) | Fachmodul Verwaltungsrecht PREMIUM | Fachmodul  Verwaltungsrecht PLUS (BOVWP)</t>
  </si>
  <si>
    <t>9. Bau, Immobilien &amp; Vergabe</t>
  </si>
  <si>
    <t>Fachmodul Vergaberecht PREMIUM | Fachmodul Privates Baurecht PREMIUM | Fachmodul Öffentl. Baurecht Kohlhammer</t>
  </si>
  <si>
    <t>Teilweise</t>
  </si>
  <si>
    <t>10. Sozialrecht</t>
  </si>
  <si>
    <t xml:space="preserve">Sozialrecht OPTIMUM | Sozialrecht PREMIUM (Neu) | NomosOnline Sozialrecht (BONOSOZ) </t>
  </si>
  <si>
    <t>11. Insolvenz, Notariat, Erbrecht &amp; Kosten</t>
  </si>
  <si>
    <t>Fachmodul Notarrecht PLUS (BONOTP) | Fachmodul Notarrecht PREMIUM  | Fachmodul Insolvenzrecht PREMIUM (BOINSRPREM)</t>
  </si>
  <si>
    <t>12. Strafrecht, Verkehr &amp; Sicherheit</t>
  </si>
  <si>
    <t>Fachmodul Strafrecht PREMIUM (BOSTPREM) | Fachmodul Verkehrsrecht PREMIUM (BOVERKPREM) | Fachmodul Strafrecht OPTIMUM</t>
  </si>
  <si>
    <t>13. Regulierte Branchen &amp; Spezialmaterien</t>
  </si>
  <si>
    <t>PREMIUM | NomosOnline PREMIUM  | Gutdeutsch, Familienrechtliche Berechnungen Online (IFAM)</t>
  </si>
  <si>
    <t>14. Kommentare, Formulare &amp; Recherche</t>
  </si>
  <si>
    <t>Vertragsformulare PREMIUM | Zeitschriftenmodul NJW PLUS | Beck´sche Online-Formulare PREMIUM (BECKOFPREM)</t>
  </si>
  <si>
    <t>Ziel-Tier</t>
  </si>
  <si>
    <t>Zielprodukt</t>
  </si>
  <si>
    <t>Status im Bestand</t>
  </si>
  <si>
    <t>Umsatz 2025 im Tier</t>
  </si>
  <si>
    <t>Anzahl Quellmodule im Tier</t>
  </si>
  <si>
    <t>1. Basis &amp; Generalisten</t>
  </si>
  <si>
    <t>1. Basis &amp; Generalisten PLUS</t>
  </si>
  <si>
    <t>bereits im Bestand</t>
  </si>
  <si>
    <t>1. Basis &amp; Generalisten PREMIUM</t>
  </si>
  <si>
    <t>1. Basis &amp; Generalisten OPTIMUM</t>
  </si>
  <si>
    <t>2. Steuer &amp; Bilanz</t>
  </si>
  <si>
    <t>2. Steuer &amp; Bilanz PLUS</t>
  </si>
  <si>
    <t>2. Steuer &amp; Bilanz PREMIUM</t>
  </si>
  <si>
    <t>2. Steuer &amp; Bilanz OPTIMUM</t>
  </si>
  <si>
    <t>3. Arbeitsrecht &amp; HR</t>
  </si>
  <si>
    <t>3. Arbeitsrecht &amp; HR PLUS</t>
  </si>
  <si>
    <t>3. Arbeitsrecht &amp; HR PREMIUM</t>
  </si>
  <si>
    <t>3. Arbeitsrecht &amp; HR OPTIMUM</t>
  </si>
  <si>
    <t>4. Zivilrecht &amp; Verfahren PLUS</t>
  </si>
  <si>
    <t>4. Zivilrecht &amp; Verfahren PREMIUM</t>
  </si>
  <si>
    <t>4. Zivilrecht &amp; Verfahren OPTIMUM</t>
  </si>
  <si>
    <t>5. Handels-, Gesellschaftsrecht &amp; M&amp;A PLUS</t>
  </si>
  <si>
    <t>5. Handels-, Gesellschaftsrecht &amp; M&amp;A PREMIUM</t>
  </si>
  <si>
    <t>5. Handels-, Gesellschaftsrecht &amp; M&amp;A OPTIMUM</t>
  </si>
  <si>
    <t>6. Bank-, Kapitalmarkt- &amp; Versicherungsrecht PLUS</t>
  </si>
  <si>
    <t>6. Bank-, Kapitalmarkt- &amp; Versicherungsrecht PREMIUM</t>
  </si>
  <si>
    <t>6. Bank-, Kapitalmarkt- &amp; Versicherungsrecht OPTIMUM</t>
  </si>
  <si>
    <t>7. IP, IT, Medien, Datenschutz &amp; Compliance PLUS</t>
  </si>
  <si>
    <t>7. IP, IT, Medien, Datenschutz &amp; Compliance PREMIUM</t>
  </si>
  <si>
    <t>7. IP, IT, Medien, Datenschutz &amp; Compliance OPTIMUM</t>
  </si>
  <si>
    <t>8. Öffentliches Recht &amp; Verwaltung PLUS</t>
  </si>
  <si>
    <t>8. Öffentliches Recht &amp; Verwaltung PREMIUM</t>
  </si>
  <si>
    <t>8. Öffentliches Recht &amp; Verwaltung OPTIMUM</t>
  </si>
  <si>
    <t>9. Bau, Immobilien &amp; Vergabe PLUS</t>
  </si>
  <si>
    <t>9. Bau, Immobilien &amp; Vergabe PREMIUM</t>
  </si>
  <si>
    <t>9. Bau, Immobilien &amp; Vergabe OPTIMUM</t>
  </si>
  <si>
    <t>Lücke – aus Bestand bündelbar</t>
  </si>
  <si>
    <t>10. Sozialrecht PLUS</t>
  </si>
  <si>
    <t>10. Sozialrecht PREMIUM</t>
  </si>
  <si>
    <t>10. Sozialrecht OPTIMUM</t>
  </si>
  <si>
    <t>11. Insolvenz, Notariat, Erbrecht &amp; Kosten PLUS</t>
  </si>
  <si>
    <t>11. Insolvenz, Notariat, Erbrecht &amp; Kosten PREMIUM</t>
  </si>
  <si>
    <t>11. Insolvenz, Notariat, Erbrecht &amp; Kosten OPTIMUM</t>
  </si>
  <si>
    <t>12. Strafrecht, Verkehr &amp; Sicherheit PLUS</t>
  </si>
  <si>
    <t>12. Strafrecht, Verkehr &amp; Sicherheit PREMIUM</t>
  </si>
  <si>
    <t>12. Strafrecht, Verkehr &amp; Sicherheit OPTIMUM</t>
  </si>
  <si>
    <t>13. Regulierte Branchen &amp; Spezialmaterien PLUS</t>
  </si>
  <si>
    <t>13. Regulierte Branchen &amp; Spezialmaterien PREMIUM</t>
  </si>
  <si>
    <t>13. Regulierte Branchen &amp; Spezialmaterien OPTIMUM</t>
  </si>
  <si>
    <t>14. Kommentare, Formulare &amp; Recherche PLUS</t>
  </si>
  <si>
    <t>14. Kommentare, Formulare &amp; Recherche PREMIUM</t>
  </si>
  <si>
    <t>14. Kommentare, Formulare &amp; Recherche OPTIMUM</t>
  </si>
  <si>
    <t>Ziel-Cluster</t>
  </si>
  <si>
    <t>Tier erkannt</t>
  </si>
  <si>
    <t>OHNE KLARE TIER-LOGIK</t>
  </si>
  <si>
    <t>1. Basis &amp; Generalisten – Bündel/Fallback</t>
  </si>
  <si>
    <t>10. Sozialrecht – Bündel/Fallback</t>
  </si>
  <si>
    <t>11. Insolvenz, Notariat, Erbrecht &amp; Kosten – Bündel/Fallback</t>
  </si>
  <si>
    <t>12. Strafrecht, Verkehr &amp; Sicherheit – Bündel/Fallback</t>
  </si>
  <si>
    <t>13. Regulierte Branchen &amp; Spezialmaterien – Bündel/Fallback</t>
  </si>
  <si>
    <t>#NV</t>
  </si>
  <si>
    <t>14. Kommentare, Formulare &amp; Recherche – Bündel/Fallback</t>
  </si>
  <si>
    <t>2. Steuer &amp; Bilanz – Bündel/Fallback</t>
  </si>
  <si>
    <t>3. Arbeitsrecht &amp; HR – Bündel/Fallback</t>
  </si>
  <si>
    <t>4. Zivilrecht &amp; Verfahren – Bündel/Fallback</t>
  </si>
  <si>
    <t>5. Handels-, Gesellschaftsrecht &amp; M&amp;A – Bündel/Fallback</t>
  </si>
  <si>
    <t>6. Bank-, Kapitalmarkt- &amp; Versicherungsrecht – Bündel/Fallback</t>
  </si>
  <si>
    <t>7. IP, IT, Medien, Datenschutz &amp; Compliance – Bündel/Fallback</t>
  </si>
  <si>
    <t>8. Öffentliches Recht &amp; Verwaltung – Bündel/Fallback</t>
  </si>
  <si>
    <t>9. Bau, Immobilien &amp; Vergabe – Bündel/Fallback</t>
  </si>
  <si>
    <t>Status Quo</t>
  </si>
  <si>
    <t>Zielstruktur V1</t>
  </si>
  <si>
    <t>Mapping Modul-Struktur beck-online → Zielstruktur V1</t>
  </si>
  <si>
    <t>Modul</t>
  </si>
  <si>
    <t>enthaltene Rechtsgebiete</t>
  </si>
  <si>
    <t>Rolle</t>
  </si>
  <si>
    <t>Nähe</t>
  </si>
  <si>
    <t>Empfehlung/Ableitung</t>
  </si>
  <si>
    <t>#</t>
  </si>
  <si>
    <t>Inhaltlicher Schwerpunkt</t>
  </si>
  <si>
    <t>Zusammengeführte Rechtsgebiete</t>
  </si>
  <si>
    <t>Hinweis</t>
  </si>
  <si>
    <t>Alte Struktur: Bürgerliches Recht</t>
  </si>
  <si>
    <t>Alte Struktur: Handels-, Gesellschafts- und Wirtschaftsrecht</t>
  </si>
  <si>
    <t>Zivilrecht</t>
  </si>
  <si>
    <t>zentrales juristisches Basisgebiet</t>
  </si>
  <si>
    <t>hoch zu: Zivilverfahren, Erbrecht, Miet-/WEG-Recht</t>
  </si>
  <si>
    <t>Integration in "Zivilrecht &amp; Verfahren"</t>
  </si>
  <si>
    <t>Offiziell</t>
  </si>
  <si>
    <t>Basisprodukte</t>
  </si>
  <si>
    <t>Einstiegs- und Standardmodule, allgemeine Recherche</t>
  </si>
  <si>
    <t>Kein klassisches Rechtsgebiet</t>
  </si>
  <si>
    <t>Heterogen; Bündel-Logik statt Fachlogik nötig</t>
  </si>
  <si>
    <t>Rechtsgebiet alt</t>
  </si>
  <si>
    <t>Clusterzuordnung neu (#)</t>
  </si>
  <si>
    <t>Immobilienrecht</t>
  </si>
  <si>
    <t>Steuer &amp; Bilanz</t>
  </si>
  <si>
    <t>Steuerrecht, Rechnungslegung, Wirtschaftsprüfung</t>
  </si>
  <si>
    <t>Klarer Kernbereich mit geringer Redundanz</t>
  </si>
  <si>
    <t>Handels- und Gesellschaftsrecht</t>
  </si>
  <si>
    <t>Mietrecht / WEG</t>
  </si>
  <si>
    <t>Arbeitsrecht &amp; HR</t>
  </si>
  <si>
    <t>Individual-/Kollektivarbeitsrecht, HR, Tarif, Personal</t>
  </si>
  <si>
    <t>Arbeitsrecht, Teile Sozialrecht</t>
  </si>
  <si>
    <t>Sinnvoll eigenständig; Sozialrecht optional andockbar</t>
  </si>
  <si>
    <t>Immobilien- und Immobilienwirtschaftsrecht</t>
  </si>
  <si>
    <t>Bank- und Kapitalmarktrecht</t>
  </si>
  <si>
    <t>Privates Baurecht</t>
  </si>
  <si>
    <t>Zivilrecht &amp; Verfahren</t>
  </si>
  <si>
    <t>Allgemeines Zivilrecht, Schuld-/Sachenrecht, Prozessrecht</t>
  </si>
  <si>
    <t>Bürgerliches Recht + Zivilverfahren</t>
  </si>
  <si>
    <t>Kerncluster mit sehr hoher inhaltlicher Nähe</t>
  </si>
  <si>
    <t>Miet- und Wohnungseigentumsrecht</t>
  </si>
  <si>
    <t>Wirtschaftsrecht</t>
  </si>
  <si>
    <t>Sportrecht</t>
  </si>
  <si>
    <t>Insolvenz, Notariat &amp; Erbrecht</t>
  </si>
  <si>
    <t>Vermögensnachfolge, Insolvenz, notarielle Praxis</t>
  </si>
  <si>
    <t>Teile Zivilrecht, Insolvenz, Notarrecht</t>
  </si>
  <si>
    <t>Heute getrennt; inhaltlich enger Verbund</t>
  </si>
  <si>
    <t>IT-Recht</t>
  </si>
  <si>
    <t>Vergaberecht</t>
  </si>
  <si>
    <t>Unternehmensrecht &amp; Finance</t>
  </si>
  <si>
    <t>Gesellschaftsrecht, M&amp;A, Kapitalmarkt, Banken/Versicherungen</t>
  </si>
  <si>
    <t>Handels-, Gesellschafts-, Wirtschaftsrecht + Bank/Kapitalmarkt</t>
  </si>
  <si>
    <t>Hohe Nähe; klar zusammenziehbar</t>
  </si>
  <si>
    <t>Kartellrecht</t>
  </si>
  <si>
    <t>Familienrecht</t>
  </si>
  <si>
    <t>Digital, IP &amp; Compliance</t>
  </si>
  <si>
    <t>IT-Recht, IP, gewerblicher Rechtsschutz, Datenschutz, Compliance</t>
  </si>
  <si>
    <t>IT-/Medienrecht, Datenschutz, Compliance</t>
  </si>
  <si>
    <t>Überschneidungsanfällig; Mehrfachwerke reduzieren</t>
  </si>
  <si>
    <t>Urheber- und Medienrechte</t>
  </si>
  <si>
    <t>Erbrecht</t>
  </si>
  <si>
    <t>Öffentliches Recht &amp; Verwaltung</t>
  </si>
  <si>
    <t>Verfassungs-, Verwaltungs-, Kommunalrecht</t>
  </si>
  <si>
    <t>Aktuell stark fragmentiert; übergreifend bündeln</t>
  </si>
  <si>
    <t>Gewerblicher Rechtsschutz</t>
  </si>
  <si>
    <t>Handels-, Gesellschafts- und Wirtschaftsrecht</t>
  </si>
  <si>
    <t>Unternehmensrechtlicher Kern</t>
  </si>
  <si>
    <t>sehr hoch zu Bank-, Kapitalmarkt- und Versicherungsrecht</t>
  </si>
  <si>
    <t>Zusammenlegung --&gt; "Unternehemsrecht &amp; Finance"</t>
  </si>
  <si>
    <t>Bau, Immobilien &amp; Vergabe</t>
  </si>
  <si>
    <t>Öffentliches/privates Baurecht, Immobilien, Vergabe</t>
  </si>
  <si>
    <t>Teile Öffentliches Recht + Spezialmaterien</t>
  </si>
  <si>
    <t>Heute künstlich getrennt; Bündelung empfohlen</t>
  </si>
  <si>
    <t>Versicherungsrechte</t>
  </si>
  <si>
    <t>Strafrecht &amp; Sicherheit</t>
  </si>
  <si>
    <t>Strafrecht, Verkehrsrecht, Polizeirecht</t>
  </si>
  <si>
    <t>Strafrecht / Verkehrsrecht</t>
  </si>
  <si>
    <t>Sinnvoll eigenständig</t>
  </si>
  <si>
    <t>Sozialversicherung, Grundsicherung</t>
  </si>
  <si>
    <t>Optional mit Arbeitsrecht zusammenlegbar</t>
  </si>
  <si>
    <t>Alte Struktur: Insolvenz und Kostenrecht/Notarrecht/Anwaltliches Berufsrecht</t>
  </si>
  <si>
    <t>Alte Struktur: Arbeitsrecht und Personalrecht</t>
  </si>
  <si>
    <t>inoffiziell</t>
  </si>
  <si>
    <t>Spezial- &amp; Branchenrecht</t>
  </si>
  <si>
    <t>Regulierte Branchen wie Medizin etc.</t>
  </si>
  <si>
    <t>Restcluster, aber eher sinnvoll weiter auflösen: Justiz, Medizin, LW, Hochschulmodul, ...</t>
  </si>
  <si>
    <t>Urheber- und Medienrecht</t>
  </si>
  <si>
    <t>Insolvenzrecht</t>
  </si>
  <si>
    <t>Arbeits- und Arbeitsschutzrecht</t>
  </si>
  <si>
    <t>Zwangsvollstreckung</t>
  </si>
  <si>
    <t>Arbeitsschutzrecht</t>
  </si>
  <si>
    <t>Versicherungsrecht</t>
  </si>
  <si>
    <t>Kostenrecht</t>
  </si>
  <si>
    <t>Betriebsrats-Arbeit</t>
  </si>
  <si>
    <t>Vergütungsrecht</t>
  </si>
  <si>
    <t>Tarifrecht</t>
  </si>
  <si>
    <t>Kostenrecht/Notarrecht/Anwaltliches Berufsrecht</t>
  </si>
  <si>
    <t>Sanierungsrecht</t>
  </si>
  <si>
    <t>HR- / Personalrecht</t>
  </si>
  <si>
    <t>klar umrissenes Praxisfeld</t>
  </si>
  <si>
    <t>Tarifrecht, Betriebsrat</t>
  </si>
  <si>
    <t>als Cluster "Arbeitsrecht &amp; HR" erhalten</t>
  </si>
  <si>
    <t>Restrukturierungsrecht</t>
  </si>
  <si>
    <t>Arbeitsrecht international</t>
  </si>
  <si>
    <t>Personalpraxis</t>
  </si>
  <si>
    <t>Personalthemen</t>
  </si>
  <si>
    <t>Nah Arbeitsrecht</t>
  </si>
  <si>
    <t>Notarrecht</t>
  </si>
  <si>
    <t>Kirchliches Arbeitsrecht</t>
  </si>
  <si>
    <t>eigenes Sytsem, aber Schnittmenge zu Arbeitsrecht</t>
  </si>
  <si>
    <t>mittel zu Arbeitsrecht</t>
  </si>
  <si>
    <t>optional integrieren oder separat?</t>
  </si>
  <si>
    <t>Anwaltliches Berufsrecht</t>
  </si>
  <si>
    <t>Verwaltungsrecht</t>
  </si>
  <si>
    <t>sehr breites Feld</t>
  </si>
  <si>
    <t>stark zu Bau-, Vergabe-, Umweltrecht</t>
  </si>
  <si>
    <t>als übergreifendes Cluster bündeln</t>
  </si>
  <si>
    <t>Verfassungsrecht</t>
  </si>
  <si>
    <t>Alte Struktur: Öffentliches Recht</t>
  </si>
  <si>
    <t>Alte Struktur: Sozialrecht</t>
  </si>
  <si>
    <t>Sicherheits- und Polizeirecht</t>
  </si>
  <si>
    <t>Beamtenrecht</t>
  </si>
  <si>
    <t>Öffentliches Baurecht</t>
  </si>
  <si>
    <t>Sozialversicherungsrecht</t>
  </si>
  <si>
    <t>Öffentliches Wirtschaftsrecht</t>
  </si>
  <si>
    <t>Grundsicherungsrecht / Bürgergeld</t>
  </si>
  <si>
    <t>Agrarrecht, Umweltrecht</t>
  </si>
  <si>
    <t>Beamtenrecht, Hochschulrecht</t>
  </si>
  <si>
    <t>SGB / SGG</t>
  </si>
  <si>
    <t>Kommunalrecht</t>
  </si>
  <si>
    <t>Teilhabe- und Behindertenrecht</t>
  </si>
  <si>
    <t>Ausländer- und Migrationsrecht</t>
  </si>
  <si>
    <t>Datenschutz- und Informationsfreiheitsrecht</t>
  </si>
  <si>
    <t>Alte Struktur: Strafrecht/Verkehrsrecht</t>
  </si>
  <si>
    <t>Medizinrecht, Lebensmittelrecht</t>
  </si>
  <si>
    <t>Kommunal- und Landesrecht</t>
  </si>
  <si>
    <t>Strafrecht</t>
  </si>
  <si>
    <t>klar abgegrenzt</t>
  </si>
  <si>
    <t>intern hoch, extern gering</t>
  </si>
  <si>
    <t>eigenständig</t>
  </si>
  <si>
    <t>Verkehrsrecht</t>
  </si>
  <si>
    <t>Querschnittsgebiet</t>
  </si>
  <si>
    <t>zu fast allen Bereichen</t>
  </si>
  <si>
    <t>nicht als eigenes Cluster --&gt; integrieren in Hauptegbiete</t>
  </si>
  <si>
    <t>Medizienrecht, Lebensmittelrecht</t>
  </si>
  <si>
    <t>Steuerrecht</t>
  </si>
  <si>
    <t>wenig direkte Integartion notwneig und sinnvoll</t>
  </si>
  <si>
    <t>Alte Struktur: Europarecht</t>
  </si>
  <si>
    <t>Steuern- und Landwirtschaft</t>
  </si>
  <si>
    <t>Alte Struktur: Steuer- und Bilanzrecht</t>
  </si>
  <si>
    <t>Zoll- und Außenwirtschaftsrecht</t>
  </si>
  <si>
    <t>Bilanzrecht</t>
  </si>
  <si>
    <t>europäisches Wirtschaftsrecht</t>
  </si>
  <si>
    <t>Wirtschaftsprüfung</t>
  </si>
  <si>
    <t>Zoll- und Außenwirtschafsrecht</t>
  </si>
  <si>
    <t>Alte Struktur: Übergreifend</t>
  </si>
  <si>
    <t>Mitgliedschaftsmodule</t>
  </si>
  <si>
    <t>Internationales Steuerrecht</t>
  </si>
  <si>
    <t>Produkte für alle Juristinnen und Juristen</t>
  </si>
  <si>
    <t>Produkte für Einzelanwälte / kleine Kanzleien</t>
  </si>
  <si>
    <t>Spezielle Produkte für Großkunden</t>
  </si>
  <si>
    <t>VPN-Module</t>
  </si>
  <si>
    <t>Formular- und Recherchemodule</t>
  </si>
  <si>
    <t>Zuordnung bestehender Module zu Zielstruktur V1 (24 Module)</t>
  </si>
  <si>
    <t>Enthalten sind nur Module mit Umsatz &gt; 1 €. Sortierung: Cluster, Tier (Premium vor Optimum), Umsatz 2025 absteigend.</t>
  </si>
  <si>
    <t>Cluster #</t>
  </si>
  <si>
    <t>Zielmodul neu</t>
  </si>
  <si>
    <t>Tier neu</t>
  </si>
  <si>
    <t>Bisheriges Modul</t>
  </si>
  <si>
    <t>2021</t>
  </si>
  <si>
    <t>2022</t>
  </si>
  <si>
    <t>2023</t>
  </si>
  <si>
    <t>2024</t>
  </si>
  <si>
    <t>2025</t>
  </si>
  <si>
    <t>Premium</t>
  </si>
  <si>
    <t>Optimum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</si>
</sst>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2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  <font>
      <b/>
      <sz val="16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1F1F1F"/>
      <name val="Calibri"/>
      <family val="2"/>
    </font>
    <font>
      <b/>
      <sz val="11"/>
      <color rgb="FF1F1F1F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i/>
      <sz val="11"/>
      <color rgb="FF40404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C1F0C8"/>
        <bgColor rgb="FFC1F0C8"/>
      </patternFill>
    </fill>
    <fill>
      <patternFill patternType="solid">
        <fgColor rgb="FFC1F0C8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rgb="FF196B24"/>
      </patternFill>
    </fill>
    <fill>
      <patternFill patternType="solid">
        <fgColor theme="9" tint="-0.249977111117893"/>
        <bgColor rgb="FF000000"/>
      </patternFill>
    </fill>
  </fills>
  <borders count="44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/>
      <right style="thin">
        <color rgb="FFD0D7DE"/>
      </right>
      <top/>
      <bottom/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medium">
        <color rgb="FFE8E8E8"/>
      </bottom>
      <diagonal/>
    </border>
    <border>
      <left style="thin">
        <color rgb="FFE8E8E8"/>
      </left>
      <right style="thin">
        <color rgb="FFE8E8E8"/>
      </right>
      <top/>
      <bottom style="thin">
        <color rgb="FFE8E8E8"/>
      </bottom>
      <diagonal/>
    </border>
    <border>
      <left style="thin">
        <color rgb="FFE8E8E8"/>
      </left>
      <right style="thin">
        <color rgb="FFE8E8E8"/>
      </right>
      <top/>
      <bottom/>
      <diagonal/>
    </border>
    <border>
      <left style="thin">
        <color rgb="FFE8E8E8"/>
      </left>
      <right style="thin">
        <color rgb="FFE8E8E8"/>
      </right>
      <top style="medium">
        <color rgb="FFE8E8E8"/>
      </top>
      <bottom/>
      <diagonal/>
    </border>
    <border>
      <left style="thin">
        <color rgb="FFE8E8E8"/>
      </left>
      <right style="thin">
        <color rgb="FFE8E8E8"/>
      </right>
      <top style="thin">
        <color rgb="FFE8E8E8"/>
      </top>
      <bottom/>
      <diagonal/>
    </border>
  </borders>
  <cellStyleXfs count="2">
    <xf numFmtId="0" fontId="0" fillId="0" borderId="0"/>
    <xf numFmtId="0" fontId="3" fillId="0" borderId="0"/>
  </cellStyleXfs>
  <cellXfs count="128">
    <xf numFmtId="0" fontId="0" fillId="0" borderId="0" xfId="0"/>
    <xf numFmtId="0" fontId="0" fillId="0" borderId="1" xfId="0" applyBorder="1" applyAlignment="1">
      <alignment horizontal="left" indent="1"/>
    </xf>
    <xf numFmtId="3" fontId="0" fillId="0" borderId="2" xfId="0" applyNumberFormat="1" applyBorder="1"/>
    <xf numFmtId="3" fontId="0" fillId="0" borderId="3" xfId="0" applyNumberFormat="1" applyBorder="1"/>
    <xf numFmtId="0" fontId="2" fillId="0" borderId="1" xfId="0" applyFont="1" applyBorder="1" applyAlignment="1">
      <alignment horizontal="left" indent="2"/>
    </xf>
    <xf numFmtId="3" fontId="2" fillId="0" borderId="2" xfId="0" applyNumberFormat="1" applyFont="1" applyBorder="1"/>
    <xf numFmtId="3" fontId="2" fillId="0" borderId="3" xfId="0" applyNumberFormat="1" applyFont="1" applyBorder="1"/>
    <xf numFmtId="0" fontId="0" fillId="0" borderId="7" xfId="0" applyBorder="1" applyAlignment="1">
      <alignment horizontal="left" indent="1"/>
    </xf>
    <xf numFmtId="3" fontId="0" fillId="0" borderId="8" xfId="0" applyNumberFormat="1" applyBorder="1"/>
    <xf numFmtId="3" fontId="0" fillId="0" borderId="9" xfId="0" applyNumberForma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left" indent="1"/>
    </xf>
    <xf numFmtId="3" fontId="0" fillId="0" borderId="11" xfId="0" applyNumberFormat="1" applyBorder="1"/>
    <xf numFmtId="3" fontId="0" fillId="0" borderId="12" xfId="0" applyNumberFormat="1" applyBorder="1"/>
    <xf numFmtId="0" fontId="1" fillId="3" borderId="13" xfId="0" applyFont="1" applyFill="1" applyBorder="1"/>
    <xf numFmtId="3" fontId="1" fillId="3" borderId="14" xfId="0" applyNumberFormat="1" applyFont="1" applyFill="1" applyBorder="1"/>
    <xf numFmtId="3" fontId="1" fillId="3" borderId="15" xfId="0" applyNumberFormat="1" applyFont="1" applyFill="1" applyBorder="1"/>
    <xf numFmtId="0" fontId="0" fillId="0" borderId="16" xfId="0" applyBorder="1" applyAlignment="1">
      <alignment horizontal="left" indent="1"/>
    </xf>
    <xf numFmtId="3" fontId="0" fillId="0" borderId="17" xfId="0" applyNumberFormat="1" applyBorder="1"/>
    <xf numFmtId="3" fontId="0" fillId="0" borderId="18" xfId="0" applyNumberFormat="1" applyBorder="1"/>
    <xf numFmtId="0" fontId="1" fillId="2" borderId="19" xfId="0" applyFont="1" applyFill="1" applyBorder="1" applyAlignment="1">
      <alignment horizontal="centerContinuous" vertical="center"/>
    </xf>
    <xf numFmtId="0" fontId="1" fillId="2" borderId="20" xfId="0" applyFont="1" applyFill="1" applyBorder="1" applyAlignment="1">
      <alignment horizontal="centerContinuous" vertical="center"/>
    </xf>
    <xf numFmtId="0" fontId="1" fillId="2" borderId="21" xfId="0" applyFont="1" applyFill="1" applyBorder="1" applyAlignment="1">
      <alignment horizontal="centerContinuous" vertical="center"/>
    </xf>
    <xf numFmtId="0" fontId="0" fillId="0" borderId="22" xfId="0" applyBorder="1"/>
    <xf numFmtId="3" fontId="0" fillId="0" borderId="23" xfId="0" applyNumberFormat="1" applyBorder="1"/>
    <xf numFmtId="3" fontId="0" fillId="0" borderId="24" xfId="0" applyNumberFormat="1" applyBorder="1"/>
    <xf numFmtId="0" fontId="2" fillId="0" borderId="7" xfId="0" applyFont="1" applyBorder="1" applyAlignment="1">
      <alignment horizontal="left" indent="1"/>
    </xf>
    <xf numFmtId="3" fontId="2" fillId="0" borderId="8" xfId="0" applyNumberFormat="1" applyFont="1" applyBorder="1"/>
    <xf numFmtId="3" fontId="2" fillId="0" borderId="9" xfId="0" applyNumberFormat="1" applyFont="1" applyBorder="1"/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/>
    </xf>
    <xf numFmtId="1" fontId="7" fillId="4" borderId="10" xfId="1" applyNumberFormat="1" applyFont="1" applyFill="1" applyBorder="1" applyAlignment="1">
      <alignment vertical="center" wrapText="1"/>
    </xf>
    <xf numFmtId="0" fontId="7" fillId="4" borderId="11" xfId="1" applyFont="1" applyFill="1" applyBorder="1" applyAlignment="1">
      <alignment vertical="center" wrapText="1"/>
    </xf>
    <xf numFmtId="4" fontId="7" fillId="4" borderId="31" xfId="1" applyNumberFormat="1" applyFont="1" applyFill="1" applyBorder="1" applyAlignment="1">
      <alignment vertical="center"/>
    </xf>
    <xf numFmtId="4" fontId="7" fillId="4" borderId="32" xfId="1" applyNumberFormat="1" applyFont="1" applyFill="1" applyBorder="1" applyAlignment="1">
      <alignment vertical="center"/>
    </xf>
    <xf numFmtId="1" fontId="7" fillId="5" borderId="10" xfId="1" applyNumberFormat="1" applyFont="1" applyFill="1" applyBorder="1" applyAlignment="1">
      <alignment vertical="center" wrapText="1"/>
    </xf>
    <xf numFmtId="0" fontId="7" fillId="5" borderId="11" xfId="1" applyFont="1" applyFill="1" applyBorder="1" applyAlignment="1">
      <alignment vertical="center" wrapText="1"/>
    </xf>
    <xf numFmtId="4" fontId="7" fillId="5" borderId="32" xfId="1" applyNumberFormat="1" applyFont="1" applyFill="1" applyBorder="1" applyAlignment="1">
      <alignment vertical="center"/>
    </xf>
    <xf numFmtId="0" fontId="7" fillId="5" borderId="10" xfId="1" applyFont="1" applyFill="1" applyBorder="1" applyAlignment="1">
      <alignment vertical="center" wrapText="1"/>
    </xf>
    <xf numFmtId="0" fontId="7" fillId="0" borderId="11" xfId="1" applyFont="1" applyBorder="1" applyAlignment="1">
      <alignment vertical="center" wrapText="1"/>
    </xf>
    <xf numFmtId="4" fontId="7" fillId="0" borderId="31" xfId="1" applyNumberFormat="1" applyFont="1" applyBorder="1" applyAlignment="1">
      <alignment vertical="center"/>
    </xf>
    <xf numFmtId="1" fontId="7" fillId="0" borderId="10" xfId="1" applyNumberFormat="1" applyFont="1" applyBorder="1" applyAlignment="1">
      <alignment vertical="center" wrapText="1"/>
    </xf>
    <xf numFmtId="4" fontId="7" fillId="0" borderId="32" xfId="1" applyNumberFormat="1" applyFont="1" applyBorder="1" applyAlignment="1">
      <alignment vertical="center"/>
    </xf>
    <xf numFmtId="0" fontId="7" fillId="0" borderId="10" xfId="1" applyFont="1" applyBorder="1" applyAlignment="1">
      <alignment vertical="center" wrapText="1"/>
    </xf>
    <xf numFmtId="0" fontId="7" fillId="0" borderId="27" xfId="1" applyFont="1" applyBorder="1" applyAlignment="1">
      <alignment vertical="center" wrapText="1"/>
    </xf>
    <xf numFmtId="0" fontId="7" fillId="0" borderId="11" xfId="1" applyFont="1" applyBorder="1" applyAlignment="1">
      <alignment vertical="center"/>
    </xf>
    <xf numFmtId="1" fontId="7" fillId="6" borderId="10" xfId="1" applyNumberFormat="1" applyFont="1" applyFill="1" applyBorder="1" applyAlignment="1">
      <alignment vertical="center" wrapText="1"/>
    </xf>
    <xf numFmtId="0" fontId="7" fillId="6" borderId="11" xfId="1" applyFont="1" applyFill="1" applyBorder="1" applyAlignment="1">
      <alignment vertical="center" wrapText="1"/>
    </xf>
    <xf numFmtId="1" fontId="7" fillId="0" borderId="10" xfId="1" applyNumberFormat="1" applyFont="1" applyBorder="1" applyAlignment="1">
      <alignment vertical="center"/>
    </xf>
    <xf numFmtId="0" fontId="7" fillId="0" borderId="7" xfId="1" applyFont="1" applyBorder="1" applyAlignment="1">
      <alignment vertical="center" wrapText="1"/>
    </xf>
    <xf numFmtId="0" fontId="7" fillId="0" borderId="29" xfId="1" applyFont="1" applyBorder="1" applyAlignment="1">
      <alignment vertical="center" wrapText="1"/>
    </xf>
    <xf numFmtId="0" fontId="7" fillId="0" borderId="0" xfId="1" applyFont="1" applyAlignment="1">
      <alignment vertical="center"/>
    </xf>
    <xf numFmtId="0" fontId="6" fillId="2" borderId="6" xfId="1" applyFont="1" applyFill="1" applyBorder="1" applyAlignment="1">
      <alignment horizontal="center" vertical="center"/>
    </xf>
    <xf numFmtId="4" fontId="7" fillId="4" borderId="12" xfId="1" applyNumberFormat="1" applyFont="1" applyFill="1" applyBorder="1" applyAlignment="1">
      <alignment vertical="center"/>
    </xf>
    <xf numFmtId="4" fontId="7" fillId="4" borderId="9" xfId="1" applyNumberFormat="1" applyFont="1" applyFill="1" applyBorder="1" applyAlignment="1">
      <alignment vertical="center"/>
    </xf>
    <xf numFmtId="4" fontId="7" fillId="5" borderId="9" xfId="1" applyNumberFormat="1" applyFont="1" applyFill="1" applyBorder="1" applyAlignment="1">
      <alignment vertical="center"/>
    </xf>
    <xf numFmtId="4" fontId="7" fillId="0" borderId="12" xfId="1" applyNumberFormat="1" applyFont="1" applyBorder="1" applyAlignment="1">
      <alignment vertical="center"/>
    </xf>
    <xf numFmtId="4" fontId="7" fillId="0" borderId="9" xfId="1" applyNumberFormat="1" applyFont="1" applyBorder="1" applyAlignment="1">
      <alignment vertical="center"/>
    </xf>
    <xf numFmtId="1" fontId="7" fillId="0" borderId="7" xfId="1" applyNumberFormat="1" applyFont="1" applyBorder="1" applyAlignment="1">
      <alignment vertical="center" wrapText="1"/>
    </xf>
    <xf numFmtId="0" fontId="7" fillId="0" borderId="8" xfId="1" applyFont="1" applyBorder="1" applyAlignment="1">
      <alignment vertical="center" wrapText="1"/>
    </xf>
    <xf numFmtId="0" fontId="8" fillId="0" borderId="7" xfId="0" applyFont="1" applyBorder="1" applyAlignment="1">
      <alignment horizontal="left" indent="1"/>
    </xf>
    <xf numFmtId="0" fontId="8" fillId="7" borderId="8" xfId="0" applyFont="1" applyFill="1" applyBorder="1"/>
    <xf numFmtId="0" fontId="8" fillId="7" borderId="9" xfId="0" applyFont="1" applyFill="1" applyBorder="1"/>
    <xf numFmtId="0" fontId="0" fillId="8" borderId="0" xfId="0" applyFill="1"/>
    <xf numFmtId="1" fontId="7" fillId="0" borderId="25" xfId="1" applyNumberFormat="1" applyFont="1" applyBorder="1" applyAlignment="1">
      <alignment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26" xfId="1" applyFont="1" applyBorder="1" applyAlignment="1">
      <alignment vertical="center" wrapText="1"/>
    </xf>
    <xf numFmtId="0" fontId="7" fillId="4" borderId="27" xfId="1" applyFont="1" applyFill="1" applyBorder="1" applyAlignment="1">
      <alignment vertical="center" wrapText="1"/>
    </xf>
    <xf numFmtId="0" fontId="7" fillId="0" borderId="28" xfId="1" applyFont="1" applyBorder="1" applyAlignment="1">
      <alignment vertical="center" wrapText="1"/>
    </xf>
    <xf numFmtId="4" fontId="7" fillId="0" borderId="33" xfId="1" applyNumberFormat="1" applyFont="1" applyBorder="1" applyAlignment="1">
      <alignment vertical="center"/>
    </xf>
    <xf numFmtId="4" fontId="7" fillId="0" borderId="34" xfId="1" applyNumberFormat="1" applyFont="1" applyBorder="1" applyAlignment="1">
      <alignment vertical="center"/>
    </xf>
    <xf numFmtId="4" fontId="7" fillId="0" borderId="35" xfId="1" applyNumberFormat="1" applyFont="1" applyBorder="1" applyAlignment="1">
      <alignment vertical="center"/>
    </xf>
    <xf numFmtId="4" fontId="7" fillId="0" borderId="18" xfId="1" applyNumberFormat="1" applyFont="1" applyBorder="1" applyAlignment="1">
      <alignment vertical="center"/>
    </xf>
    <xf numFmtId="0" fontId="9" fillId="9" borderId="0" xfId="0" applyFont="1" applyFill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0" fillId="10" borderId="0" xfId="0" applyFont="1" applyFill="1" applyAlignment="1">
      <alignment wrapText="1"/>
    </xf>
    <xf numFmtId="0" fontId="10" fillId="11" borderId="0" xfId="0" applyFont="1" applyFill="1" applyAlignment="1">
      <alignment wrapText="1"/>
    </xf>
    <xf numFmtId="0" fontId="10" fillId="1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2" fillId="14" borderId="36" xfId="0" applyFont="1" applyFill="1" applyBorder="1" applyAlignment="1">
      <alignment horizontal="left" vertical="center" wrapText="1"/>
    </xf>
    <xf numFmtId="0" fontId="12" fillId="15" borderId="36" xfId="0" applyFont="1" applyFill="1" applyBorder="1" applyAlignment="1">
      <alignment horizontal="left" vertical="center" wrapText="1"/>
    </xf>
    <xf numFmtId="0" fontId="15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1" fillId="13" borderId="37" xfId="0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17" fillId="15" borderId="36" xfId="0" applyFont="1" applyFill="1" applyBorder="1" applyAlignment="1">
      <alignment horizontal="left" vertical="center" wrapText="1"/>
    </xf>
    <xf numFmtId="0" fontId="19" fillId="17" borderId="0" xfId="0" applyFont="1" applyFill="1"/>
    <xf numFmtId="0" fontId="19" fillId="17" borderId="0" xfId="0" applyFont="1" applyFill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16" borderId="40" xfId="0" applyFont="1" applyFill="1" applyBorder="1" applyAlignment="1">
      <alignment horizontal="center" vertical="center" textRotation="90" wrapText="1"/>
    </xf>
    <xf numFmtId="0" fontId="19" fillId="0" borderId="40" xfId="0" applyFont="1" applyBorder="1" applyAlignment="1">
      <alignment horizontal="center" vertical="center" textRotation="90" wrapText="1"/>
    </xf>
    <xf numFmtId="0" fontId="0" fillId="0" borderId="0" xfId="0" applyAlignment="1">
      <alignment horizontal="left" textRotation="90"/>
    </xf>
    <xf numFmtId="0" fontId="0" fillId="0" borderId="0" xfId="0" applyAlignment="1">
      <alignment horizontal="left" vertical="center" wrapText="1"/>
    </xf>
    <xf numFmtId="0" fontId="20" fillId="18" borderId="0" xfId="0" applyFont="1" applyFill="1"/>
    <xf numFmtId="0" fontId="14" fillId="0" borderId="0" xfId="0" applyFont="1" applyAlignment="1">
      <alignment vertical="center"/>
    </xf>
    <xf numFmtId="0" fontId="11" fillId="20" borderId="39" xfId="0" applyFont="1" applyFill="1" applyBorder="1" applyAlignment="1">
      <alignment horizontal="center" vertical="center" wrapText="1"/>
    </xf>
    <xf numFmtId="0" fontId="18" fillId="21" borderId="0" xfId="0" applyFont="1" applyFill="1"/>
    <xf numFmtId="0" fontId="21" fillId="9" borderId="0" xfId="0" applyFont="1" applyFill="1"/>
    <xf numFmtId="0" fontId="22" fillId="0" borderId="0" xfId="0" applyFont="1"/>
    <xf numFmtId="164" fontId="0" fillId="0" borderId="0" xfId="0" applyNumberFormat="1"/>
    <xf numFmtId="1" fontId="0" fillId="0" borderId="0" xfId="0" applyNumberFormat="1"/>
    <xf numFmtId="0" fontId="19" fillId="17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left" wrapText="1"/>
    </xf>
    <xf numFmtId="0" fontId="13" fillId="10" borderId="0" xfId="0" applyFont="1" applyFill="1" applyAlignment="1">
      <alignment horizontal="center" wrapText="1"/>
    </xf>
    <xf numFmtId="0" fontId="19" fillId="16" borderId="42" xfId="0" applyFont="1" applyFill="1" applyBorder="1" applyAlignment="1">
      <alignment horizontal="center" vertical="center" textRotation="90" wrapText="1"/>
    </xf>
    <xf numFmtId="0" fontId="19" fillId="16" borderId="41" xfId="0" applyFont="1" applyFill="1" applyBorder="1" applyAlignment="1">
      <alignment horizontal="center" vertical="center" textRotation="90" wrapText="1"/>
    </xf>
    <xf numFmtId="0" fontId="19" fillId="16" borderId="40" xfId="0" applyFont="1" applyFill="1" applyBorder="1" applyAlignment="1">
      <alignment horizontal="center" vertical="center" textRotation="90" wrapText="1"/>
    </xf>
    <xf numFmtId="0" fontId="19" fillId="0" borderId="43" xfId="0" applyFont="1" applyBorder="1" applyAlignment="1">
      <alignment horizontal="center" vertical="center" textRotation="90" wrapText="1"/>
    </xf>
    <xf numFmtId="0" fontId="19" fillId="0" borderId="41" xfId="0" applyFont="1" applyBorder="1" applyAlignment="1">
      <alignment horizontal="center" vertical="center" textRotation="90" wrapText="1"/>
    </xf>
    <xf numFmtId="0" fontId="19" fillId="0" borderId="40" xfId="0" applyFont="1" applyBorder="1" applyAlignment="1">
      <alignment horizontal="center" vertical="center" textRotation="90" wrapText="1"/>
    </xf>
    <xf numFmtId="0" fontId="19" fillId="0" borderId="0" xfId="0" applyFont="1" applyAlignment="1">
      <alignment horizontal="left" vertical="center"/>
    </xf>
    <xf numFmtId="0" fontId="19" fillId="17" borderId="43" xfId="0" applyFont="1" applyFill="1" applyBorder="1" applyAlignment="1">
      <alignment horizontal="center" vertical="center" textRotation="90" wrapText="1"/>
    </xf>
    <xf numFmtId="0" fontId="19" fillId="17" borderId="40" xfId="0" applyFont="1" applyFill="1" applyBorder="1" applyAlignment="1">
      <alignment horizontal="center" vertical="center" textRotation="90" wrapText="1"/>
    </xf>
    <xf numFmtId="0" fontId="19" fillId="17" borderId="41" xfId="0" applyFont="1" applyFill="1" applyBorder="1" applyAlignment="1">
      <alignment horizontal="center" vertical="center" textRotation="90" wrapText="1"/>
    </xf>
    <xf numFmtId="0" fontId="20" fillId="18" borderId="0" xfId="0" applyFont="1" applyFill="1" applyAlignment="1">
      <alignment horizontal="center"/>
    </xf>
    <xf numFmtId="0" fontId="0" fillId="0" borderId="38" xfId="0" applyBorder="1" applyAlignment="1">
      <alignment horizontal="center" vertical="center" textRotation="90"/>
    </xf>
    <xf numFmtId="0" fontId="20" fillId="19" borderId="0" xfId="0" applyFont="1" applyFill="1" applyAlignment="1">
      <alignment horizontal="center" vertical="center"/>
    </xf>
  </cellXfs>
  <cellStyles count="2">
    <cellStyle name="Normal" xfId="0" builtinId="0"/>
    <cellStyle name="Standard 3 2" xfId="1" xr:uid="{569083DE-7611-4BA2-9369-E2042F3326FC}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#.##000"/>
    </dxf>
    <dxf>
      <numFmt numFmtId="164" formatCode="#.##000"/>
    </dxf>
    <dxf>
      <numFmt numFmtId="164" formatCode="#.##000"/>
    </dxf>
    <dxf>
      <numFmt numFmtId="164" formatCode="#.##000"/>
    </dxf>
    <dxf>
      <numFmt numFmtId="164" formatCode="#.##000"/>
    </dxf>
    <dxf>
      <numFmt numFmtId="1" formatCode="0"/>
    </dxf>
    <dxf>
      <numFmt numFmtId="1" formatCode="0"/>
      <alignment horizontal="center" wrapText="1"/>
    </dxf>
    <dxf>
      <alignment horizontal="left" wrapText="1"/>
    </dxf>
    <dxf>
      <alignment horizontal="left" wrapText="1"/>
    </dxf>
    <dxf>
      <alignment horizontal="left" wrapText="1"/>
    </dxf>
    <dxf>
      <numFmt numFmtId="1" formatCode="0"/>
      <alignment horizontal="center" wrapText="1"/>
    </dxf>
    <dxf>
      <alignment horizontal="left" wrapText="1"/>
    </dxf>
    <dxf>
      <alignment horizontal="left" wrapText="1"/>
    </dxf>
    <dxf>
      <alignment horizontal="left" wrapText="1"/>
    </dxf>
    <dxf>
      <numFmt numFmtId="1" formatCode="0"/>
      <alignment horizontal="center" wrapText="1"/>
    </dxf>
    <dxf>
      <alignment horizontal="left" wrapText="1"/>
    </dxf>
    <dxf>
      <alignment horizontal="left" wrapText="1"/>
    </dxf>
    <dxf>
      <alignment horizontal="left" wrapText="1"/>
    </dxf>
    <dxf>
      <numFmt numFmtId="1" formatCode="0"/>
      <alignment horizontal="center" wrapText="1"/>
    </dxf>
    <dxf>
      <alignment horizontal="left" wrapText="1"/>
    </dxf>
    <dxf>
      <alignment horizontal="left" wrapText="1"/>
    </dxf>
    <dxf>
      <alignment horizontal="left" wrapText="1"/>
    </dxf>
    <dxf>
      <numFmt numFmtId="1" formatCode="0"/>
      <alignment horizontal="center" wrapText="1"/>
    </dxf>
    <dxf>
      <alignment horizontal="left" wrapText="1"/>
    </dxf>
    <dxf>
      <alignment horizontal="left" wrapText="1"/>
    </dxf>
    <dxf>
      <alignment horizontal="left" wrapText="1"/>
    </dxf>
    <dxf>
      <numFmt numFmtId="1" formatCode="0"/>
      <alignment horizontal="center" wrapText="1"/>
    </dxf>
    <dxf>
      <alignment horizontal="left" wrapText="1"/>
    </dxf>
    <dxf>
      <alignment horizontal="left" wrapText="1"/>
    </dxf>
    <dxf>
      <alignment horizontal="left" wrapText="1"/>
    </dxf>
    <dxf>
      <numFmt numFmtId="1" formatCode="0"/>
      <alignment horizontal="center" wrapText="1"/>
    </dxf>
    <dxf>
      <alignment horizontal="left" wrapText="1"/>
    </dxf>
    <dxf>
      <alignment horizontal="left" wrapText="1"/>
    </dxf>
    <dxf>
      <alignment horizontal="left" wrapText="1"/>
    </dxf>
    <dxf>
      <numFmt numFmtId="1" formatCode="0"/>
      <alignment horizontal="center" wrapText="1"/>
    </dxf>
    <dxf>
      <alignment horizontal="left" wrapText="1"/>
    </dxf>
    <dxf>
      <alignment horizontal="left" wrapText="1"/>
    </dxf>
    <dxf>
      <alignment horizontal="left" wrapText="1"/>
    </dxf>
    <dxf>
      <numFmt numFmtId="1" formatCode="0"/>
      <alignment horizontal="center" wrapText="1"/>
    </dxf>
    <dxf>
      <alignment horizontal="left" wrapText="1"/>
    </dxf>
    <dxf>
      <alignment horizontal="left" wrapText="1"/>
    </dxf>
    <dxf>
      <alignment horizontal="left" wrapText="1"/>
    </dxf>
    <dxf>
      <numFmt numFmtId="1" formatCode="0"/>
      <alignment horizontal="center" wrapText="1"/>
    </dxf>
    <dxf>
      <alignment horizontal="left" wrapText="1"/>
    </dxf>
    <dxf>
      <alignment horizontal="left" wrapText="1"/>
    </dxf>
    <dxf>
      <alignment horizontal="left" wrapText="1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CE4D6"/>
        </patternFill>
      </fill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eckverlag.sharepoint.com/sites/DE-CHB-ORG-Betriebswirtschaft/Freigegebene%20Dokumente/BW/Beck%20+%20Vahlen/Beck%20Online/2025/Umsatz/Umsatz%202.%20HJ%202025.xlsb" TargetMode="External"/><Relationship Id="rId1" Type="http://schemas.openxmlformats.org/officeDocument/2006/relationships/externalLinkPath" Target="https://beckverlag.sharepoint.com/sites/DE-CHB-ORG-Betriebswirtschaft/Freigegebene%20Dokumente/BW/Beck%20+%20Vahlen/Beck%20Online/2025/Umsatz/Umsatz%202.%20HJ%20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DB-Auszug 09.01.2026"/>
      <sheetName val="Stammdaten"/>
      <sheetName val="BO-Berichte"/>
      <sheetName val="Rechtsgebiete"/>
      <sheetName val="Abstimmungen 2025"/>
      <sheetName val="Umsatz aktuelles HJ"/>
      <sheetName val="Einzeldokumentabrufe 2. HJ 2025"/>
      <sheetName val="Nachverrechnung id-Verlag"/>
      <sheetName val="Umsatzentw. Werke"/>
      <sheetName val="Umsatzentw. Werke Kurztitel"/>
      <sheetName val="Umsatzentwicklung zusammenf"/>
      <sheetName val="Abweichung akt. HJ"/>
      <sheetName val="Auswertungen WF-Änderung"/>
      <sheetName val="Umsatzentwicklung Module"/>
      <sheetName val="Grafiken Vorjahresvgl."/>
      <sheetName val="Grafik PC ohne ZS"/>
      <sheetName val="Grafiken Top 10"/>
      <sheetName val="Buchungsvorlage Modulumsatz"/>
      <sheetName val="Buchungsvorlage Int. Liz"/>
      <sheetName val="Schmidt"/>
      <sheetName val="Fitting"/>
      <sheetName val="BeckOKG HGB"/>
      <sheetName val="Prüfliste Autorenhonorierung"/>
      <sheetName val="Honorargruppen"/>
      <sheetName val="Inhaltsverzeichnis"/>
    </sheetNames>
    <sheetDataSet>
      <sheetData sheetId="0">
        <row r="1">
          <cell r="A1" t="str">
            <v>Liste der Module</v>
          </cell>
        </row>
        <row r="2">
          <cell r="A2" t="str">
            <v>Filterkriterien:</v>
          </cell>
        </row>
        <row r="3">
          <cell r="A3" t="str">
            <v>Sortierung:</v>
          </cell>
        </row>
        <row r="5">
          <cell r="A5" t="str">
            <v>ID</v>
          </cell>
          <cell r="D5" t="str">
            <v>Pseudomodul</v>
          </cell>
          <cell r="E5" t="str">
            <v>K&amp;P Name</v>
          </cell>
        </row>
        <row r="6">
          <cell r="E6" t="str">
            <v>ELSTRGES</v>
          </cell>
        </row>
        <row r="7">
          <cell r="A7">
            <v>271</v>
          </cell>
          <cell r="D7" t="str">
            <v>False</v>
          </cell>
          <cell r="E7" t="str">
            <v>AWZIV</v>
          </cell>
        </row>
        <row r="8">
          <cell r="A8">
            <v>623</v>
          </cell>
          <cell r="D8" t="str">
            <v>False</v>
          </cell>
          <cell r="E8" t="str">
            <v>AURP</v>
          </cell>
        </row>
        <row r="9">
          <cell r="A9">
            <v>344</v>
          </cell>
          <cell r="D9" t="str">
            <v>False</v>
          </cell>
          <cell r="E9" t="str">
            <v>ADAJURP</v>
          </cell>
        </row>
        <row r="10">
          <cell r="A10">
            <v>982</v>
          </cell>
          <cell r="D10" t="str">
            <v>True</v>
          </cell>
          <cell r="E10" t="str">
            <v>ADVOBAS</v>
          </cell>
        </row>
        <row r="11">
          <cell r="A11">
            <v>951</v>
          </cell>
          <cell r="D11" t="str">
            <v>False</v>
          </cell>
          <cell r="E11" t="str">
            <v>BOAGRP</v>
          </cell>
        </row>
        <row r="12">
          <cell r="A12">
            <v>76</v>
          </cell>
          <cell r="D12" t="str">
            <v>False</v>
          </cell>
          <cell r="E12" t="str">
            <v>AICHP</v>
          </cell>
        </row>
        <row r="13">
          <cell r="A13">
            <v>270</v>
          </cell>
          <cell r="D13" t="str">
            <v>False</v>
          </cell>
          <cell r="E13" t="str">
            <v>ALLAW</v>
          </cell>
        </row>
        <row r="14">
          <cell r="A14">
            <v>136</v>
          </cell>
          <cell r="D14" t="str">
            <v>False</v>
          </cell>
          <cell r="E14" t="str">
            <v>BOAWP</v>
          </cell>
        </row>
        <row r="15">
          <cell r="A15">
            <v>1183</v>
          </cell>
          <cell r="D15" t="str">
            <v>False</v>
          </cell>
          <cell r="E15" t="str">
            <v>ANWTBM</v>
          </cell>
        </row>
        <row r="16">
          <cell r="A16">
            <v>797</v>
          </cell>
          <cell r="D16" t="str">
            <v>False</v>
          </cell>
          <cell r="E16" t="str">
            <v>AWKOMP</v>
          </cell>
        </row>
        <row r="17">
          <cell r="A17">
            <v>1063</v>
          </cell>
          <cell r="D17" t="str">
            <v>False</v>
          </cell>
          <cell r="E17" t="str">
            <v>BOAWBRP</v>
          </cell>
        </row>
        <row r="18">
          <cell r="A18">
            <v>501</v>
          </cell>
          <cell r="D18" t="str">
            <v>False</v>
          </cell>
          <cell r="E18" t="str">
            <v>BOANP</v>
          </cell>
        </row>
        <row r="19">
          <cell r="A19">
            <v>748</v>
          </cell>
          <cell r="D19" t="str">
            <v>False</v>
          </cell>
          <cell r="E19" t="str">
            <v>AWAWR</v>
          </cell>
        </row>
        <row r="20">
          <cell r="A20">
            <v>749</v>
          </cell>
          <cell r="D20" t="str">
            <v>False</v>
          </cell>
          <cell r="E20" t="str">
            <v>FJAAWR</v>
          </cell>
        </row>
        <row r="21">
          <cell r="A21">
            <v>950</v>
          </cell>
          <cell r="D21" t="str">
            <v>False</v>
          </cell>
          <cell r="E21" t="str">
            <v>AVPREM</v>
          </cell>
        </row>
        <row r="22">
          <cell r="A22">
            <v>1142</v>
          </cell>
          <cell r="D22" t="str">
            <v>True</v>
          </cell>
          <cell r="E22" t="str">
            <v>HBAO20</v>
          </cell>
        </row>
        <row r="23">
          <cell r="A23">
            <v>1211</v>
          </cell>
          <cell r="D23" t="str">
            <v>True</v>
          </cell>
          <cell r="E23" t="str">
            <v>HBAO21</v>
          </cell>
        </row>
        <row r="24">
          <cell r="A24">
            <v>1255</v>
          </cell>
          <cell r="D24" t="str">
            <v>True</v>
          </cell>
          <cell r="E24" t="str">
            <v>HBAO22</v>
          </cell>
        </row>
        <row r="25">
          <cell r="A25">
            <v>1298</v>
          </cell>
          <cell r="D25" t="str">
            <v>True</v>
          </cell>
          <cell r="E25" t="str">
            <v>HBAO23</v>
          </cell>
        </row>
        <row r="26">
          <cell r="A26">
            <v>1358</v>
          </cell>
          <cell r="D26" t="str">
            <v>True</v>
          </cell>
          <cell r="E26" t="str">
            <v>HBAO24</v>
          </cell>
        </row>
        <row r="27">
          <cell r="A27">
            <v>1426</v>
          </cell>
          <cell r="D27" t="str">
            <v>True</v>
          </cell>
          <cell r="E27" t="str">
            <v>HBAO25</v>
          </cell>
        </row>
        <row r="28">
          <cell r="A28">
            <v>1094</v>
          </cell>
          <cell r="D28" t="str">
            <v>True</v>
          </cell>
          <cell r="E28" t="str">
            <v>HBAO19</v>
          </cell>
        </row>
        <row r="29">
          <cell r="A29">
            <v>43</v>
          </cell>
          <cell r="D29" t="str">
            <v>True</v>
          </cell>
          <cell r="E29" t="str">
            <v>AP</v>
          </cell>
        </row>
        <row r="30">
          <cell r="A30">
            <v>594</v>
          </cell>
          <cell r="D30" t="str">
            <v>False</v>
          </cell>
          <cell r="E30" t="str">
            <v>APDVD</v>
          </cell>
        </row>
        <row r="31">
          <cell r="A31">
            <v>78</v>
          </cell>
          <cell r="D31" t="str">
            <v>False</v>
          </cell>
          <cell r="E31" t="str">
            <v>APP</v>
          </cell>
        </row>
        <row r="32">
          <cell r="A32">
            <v>40</v>
          </cell>
          <cell r="D32" t="str">
            <v>True</v>
          </cell>
          <cell r="E32" t="str">
            <v>APSKO-AUTO</v>
          </cell>
        </row>
        <row r="33">
          <cell r="A33">
            <v>273</v>
          </cell>
          <cell r="D33" t="str">
            <v>False</v>
          </cell>
          <cell r="E33" t="str">
            <v>AWARB</v>
          </cell>
        </row>
        <row r="34">
          <cell r="A34">
            <v>652</v>
          </cell>
          <cell r="D34" t="str">
            <v>False</v>
          </cell>
          <cell r="E34" t="str">
            <v>FJAARB</v>
          </cell>
        </row>
        <row r="35">
          <cell r="A35">
            <v>1197</v>
          </cell>
          <cell r="D35" t="str">
            <v>False</v>
          </cell>
          <cell r="E35" t="str">
            <v>BOARBKP</v>
          </cell>
        </row>
        <row r="36">
          <cell r="A36">
            <v>923</v>
          </cell>
          <cell r="D36" t="str">
            <v>False</v>
          </cell>
          <cell r="E36" t="str">
            <v>BOARBINTB</v>
          </cell>
        </row>
        <row r="37">
          <cell r="A37">
            <v>800</v>
          </cell>
          <cell r="D37" t="str">
            <v>False</v>
          </cell>
          <cell r="E37" t="str">
            <v>BOARBOPT</v>
          </cell>
        </row>
        <row r="38">
          <cell r="A38">
            <v>920</v>
          </cell>
          <cell r="D38" t="str">
            <v>True</v>
          </cell>
          <cell r="E38" t="str">
            <v>AMARBOPT</v>
          </cell>
        </row>
        <row r="39">
          <cell r="A39">
            <v>12</v>
          </cell>
          <cell r="D39" t="str">
            <v>False</v>
          </cell>
          <cell r="E39" t="str">
            <v>BOARBP</v>
          </cell>
        </row>
        <row r="40">
          <cell r="A40">
            <v>195</v>
          </cell>
          <cell r="D40" t="str">
            <v>False</v>
          </cell>
          <cell r="E40" t="str">
            <v>BOARBPREM</v>
          </cell>
        </row>
        <row r="41">
          <cell r="A41">
            <v>972</v>
          </cell>
          <cell r="D41" t="str">
            <v>False</v>
          </cell>
          <cell r="E41" t="str">
            <v>SYNARB</v>
          </cell>
        </row>
        <row r="42">
          <cell r="A42">
            <v>174</v>
          </cell>
          <cell r="D42" t="str">
            <v>True</v>
          </cell>
          <cell r="E42" t="str">
            <v>ARBRBEIRAT</v>
          </cell>
        </row>
        <row r="43">
          <cell r="A43">
            <v>1155</v>
          </cell>
          <cell r="D43" t="str">
            <v>False</v>
          </cell>
          <cell r="E43" t="str">
            <v>BOARBSRP</v>
          </cell>
        </row>
        <row r="44">
          <cell r="A44">
            <v>474</v>
          </cell>
          <cell r="D44" t="str">
            <v>False</v>
          </cell>
          <cell r="E44" t="str">
            <v>ARBRO</v>
          </cell>
        </row>
        <row r="45">
          <cell r="A45">
            <v>475</v>
          </cell>
          <cell r="D45" t="str">
            <v>False</v>
          </cell>
          <cell r="E45" t="str">
            <v>ARBRP</v>
          </cell>
        </row>
        <row r="46">
          <cell r="A46">
            <v>1012</v>
          </cell>
          <cell r="D46" t="str">
            <v>False</v>
          </cell>
          <cell r="E46" t="str">
            <v>ARBAYBAS</v>
          </cell>
        </row>
        <row r="47">
          <cell r="A47">
            <v>1011</v>
          </cell>
          <cell r="D47" t="str">
            <v>False</v>
          </cell>
          <cell r="E47" t="str">
            <v>ARBAYP</v>
          </cell>
        </row>
        <row r="48">
          <cell r="A48">
            <v>1475</v>
          </cell>
          <cell r="D48" t="str">
            <v>False</v>
          </cell>
          <cell r="E48" t="str">
            <v>ARPDIR</v>
          </cell>
        </row>
        <row r="49">
          <cell r="A49">
            <v>884</v>
          </cell>
          <cell r="D49" t="str">
            <v>False</v>
          </cell>
          <cell r="E49" t="str">
            <v>KHAMR</v>
          </cell>
        </row>
        <row r="50">
          <cell r="A50">
            <v>1134</v>
          </cell>
          <cell r="D50" t="str">
            <v>False</v>
          </cell>
          <cell r="E50" t="str">
            <v>ASRDIR</v>
          </cell>
        </row>
        <row r="51">
          <cell r="A51">
            <v>515</v>
          </cell>
          <cell r="D51" t="str">
            <v>False</v>
          </cell>
          <cell r="E51" t="str">
            <v>ATVVOBC</v>
          </cell>
        </row>
        <row r="52">
          <cell r="A52">
            <v>412</v>
          </cell>
          <cell r="D52" t="str">
            <v>False</v>
          </cell>
          <cell r="E52" t="str">
            <v>BOAAP</v>
          </cell>
        </row>
        <row r="53">
          <cell r="A53">
            <v>1119</v>
          </cell>
          <cell r="D53" t="str">
            <v>False</v>
          </cell>
          <cell r="E53" t="str">
            <v>BOAAPREM</v>
          </cell>
        </row>
        <row r="54">
          <cell r="A54">
            <v>803</v>
          </cell>
          <cell r="D54" t="str">
            <v>False</v>
          </cell>
          <cell r="E54" t="str">
            <v>BAYRE</v>
          </cell>
        </row>
        <row r="55">
          <cell r="A55">
            <v>1274</v>
          </cell>
          <cell r="D55" t="str">
            <v>True</v>
          </cell>
          <cell r="E55" t="str">
            <v>BECKOKADR</v>
          </cell>
        </row>
        <row r="56">
          <cell r="A56">
            <v>264</v>
          </cell>
          <cell r="D56" t="str">
            <v>True</v>
          </cell>
          <cell r="E56" t="str">
            <v>OKARB</v>
          </cell>
        </row>
        <row r="57">
          <cell r="A57">
            <v>327</v>
          </cell>
          <cell r="D57" t="str">
            <v>True</v>
          </cell>
          <cell r="E57" t="str">
            <v>OKBGB</v>
          </cell>
        </row>
        <row r="58">
          <cell r="A58">
            <v>382</v>
          </cell>
          <cell r="D58" t="str">
            <v>True</v>
          </cell>
          <cell r="E58" t="str">
            <v>OKGG</v>
          </cell>
        </row>
        <row r="59">
          <cell r="A59">
            <v>1000</v>
          </cell>
          <cell r="D59" t="str">
            <v>True</v>
          </cell>
          <cell r="E59" t="str">
            <v>BECKOKRDG</v>
          </cell>
        </row>
        <row r="60">
          <cell r="A60">
            <v>1053</v>
          </cell>
          <cell r="D60" t="str">
            <v>True</v>
          </cell>
          <cell r="E60" t="str">
            <v>OKSTVERKR</v>
          </cell>
        </row>
        <row r="61">
          <cell r="A61">
            <v>1045</v>
          </cell>
          <cell r="D61" t="str">
            <v>True</v>
          </cell>
          <cell r="E61" t="str">
            <v>OKUWG</v>
          </cell>
        </row>
        <row r="62">
          <cell r="A62">
            <v>1241</v>
          </cell>
          <cell r="D62" t="str">
            <v>False</v>
          </cell>
          <cell r="E62" t="str">
            <v>BOBROPT</v>
          </cell>
        </row>
        <row r="63">
          <cell r="A63">
            <v>305</v>
          </cell>
          <cell r="D63" t="str">
            <v>False</v>
          </cell>
          <cell r="E63" t="str">
            <v>BOBRP</v>
          </cell>
        </row>
        <row r="64">
          <cell r="A64">
            <v>739</v>
          </cell>
          <cell r="D64" t="str">
            <v>False</v>
          </cell>
          <cell r="E64" t="str">
            <v>BOBRPREM</v>
          </cell>
        </row>
        <row r="65">
          <cell r="A65">
            <v>1286</v>
          </cell>
          <cell r="D65" t="str">
            <v>False</v>
          </cell>
          <cell r="E65" t="str">
            <v>FCHBKR</v>
          </cell>
        </row>
        <row r="66">
          <cell r="A66">
            <v>277</v>
          </cell>
          <cell r="D66" t="str">
            <v>False</v>
          </cell>
          <cell r="E66" t="str">
            <v>AWBAU</v>
          </cell>
        </row>
        <row r="67">
          <cell r="A67">
            <v>653</v>
          </cell>
          <cell r="D67" t="str">
            <v>False</v>
          </cell>
          <cell r="E67" t="str">
            <v>FJABAU</v>
          </cell>
        </row>
        <row r="68">
          <cell r="A68">
            <v>831</v>
          </cell>
          <cell r="D68" t="str">
            <v>False</v>
          </cell>
          <cell r="E68" t="str">
            <v>DBBAYR</v>
          </cell>
        </row>
        <row r="69">
          <cell r="A69">
            <v>877</v>
          </cell>
          <cell r="D69" t="str">
            <v>False</v>
          </cell>
          <cell r="E69" t="str">
            <v>DBBYVWV311</v>
          </cell>
        </row>
        <row r="70">
          <cell r="A70">
            <v>878</v>
          </cell>
          <cell r="D70" t="str">
            <v>False</v>
          </cell>
          <cell r="E70" t="str">
            <v>DBBYVWV321</v>
          </cell>
        </row>
        <row r="71">
          <cell r="A71">
            <v>879</v>
          </cell>
          <cell r="D71" t="str">
            <v>False</v>
          </cell>
          <cell r="E71" t="str">
            <v>DBBYVWV322</v>
          </cell>
        </row>
        <row r="72">
          <cell r="A72">
            <v>880</v>
          </cell>
          <cell r="D72" t="str">
            <v>False</v>
          </cell>
          <cell r="E72" t="str">
            <v>DBBYVWV323</v>
          </cell>
        </row>
        <row r="73">
          <cell r="A73">
            <v>875</v>
          </cell>
          <cell r="D73" t="str">
            <v>False</v>
          </cell>
          <cell r="E73" t="str">
            <v>DBBYVWV200</v>
          </cell>
        </row>
        <row r="74">
          <cell r="A74">
            <v>518</v>
          </cell>
          <cell r="D74" t="str">
            <v>False</v>
          </cell>
          <cell r="E74" t="str">
            <v>BCDIR</v>
          </cell>
        </row>
        <row r="75">
          <cell r="A75">
            <v>427</v>
          </cell>
          <cell r="D75" t="str">
            <v>False</v>
          </cell>
          <cell r="E75" t="str">
            <v>BRZDIR</v>
          </cell>
        </row>
        <row r="76">
          <cell r="A76">
            <v>876</v>
          </cell>
          <cell r="D76" t="str">
            <v>False</v>
          </cell>
          <cell r="E76" t="str">
            <v>BOBERP</v>
          </cell>
        </row>
        <row r="77">
          <cell r="A77">
            <v>573</v>
          </cell>
          <cell r="D77" t="str">
            <v>False</v>
          </cell>
          <cell r="E77" t="str">
            <v>BERPBY</v>
          </cell>
        </row>
        <row r="78">
          <cell r="A78">
            <v>158</v>
          </cell>
          <cell r="D78" t="str">
            <v>False</v>
          </cell>
          <cell r="E78" t="str">
            <v>BDSTD</v>
          </cell>
        </row>
        <row r="79">
          <cell r="A79">
            <v>1043</v>
          </cell>
          <cell r="D79" t="str">
            <v>False</v>
          </cell>
          <cell r="E79" t="str">
            <v>BOSTRNAV</v>
          </cell>
        </row>
        <row r="80">
          <cell r="A80">
            <v>1152</v>
          </cell>
          <cell r="D80" t="str">
            <v>False</v>
          </cell>
          <cell r="E80" t="str">
            <v>BDIGTDIR</v>
          </cell>
        </row>
        <row r="81">
          <cell r="A81">
            <v>1173</v>
          </cell>
          <cell r="D81" t="str">
            <v>False</v>
          </cell>
          <cell r="E81" t="str">
            <v>BDIGTP</v>
          </cell>
        </row>
        <row r="82">
          <cell r="A82">
            <v>1377</v>
          </cell>
          <cell r="D82" t="str">
            <v>True</v>
          </cell>
          <cell r="E82" t="str">
            <v>BDIGTAPP</v>
          </cell>
        </row>
        <row r="83">
          <cell r="A83">
            <v>566</v>
          </cell>
          <cell r="D83" t="str">
            <v>False</v>
          </cell>
          <cell r="E83" t="str">
            <v>BOPREMBIKO</v>
          </cell>
        </row>
        <row r="84">
          <cell r="A84">
            <v>354</v>
          </cell>
          <cell r="D84" t="str">
            <v>False</v>
          </cell>
          <cell r="E84" t="str">
            <v>BOAKAD</v>
          </cell>
        </row>
        <row r="85">
          <cell r="A85">
            <v>1344</v>
          </cell>
          <cell r="D85" t="str">
            <v>False</v>
          </cell>
          <cell r="E85" t="str">
            <v>BAFKBTR1</v>
          </cell>
        </row>
        <row r="86">
          <cell r="A86">
            <v>1345</v>
          </cell>
          <cell r="D86" t="str">
            <v>False</v>
          </cell>
          <cell r="E86" t="str">
            <v>BAFKBTR2</v>
          </cell>
        </row>
        <row r="87">
          <cell r="A87">
            <v>1346</v>
          </cell>
          <cell r="D87" t="str">
            <v>False</v>
          </cell>
          <cell r="E87" t="str">
            <v>BAFKBTR3</v>
          </cell>
        </row>
        <row r="88">
          <cell r="A88">
            <v>1319</v>
          </cell>
          <cell r="D88" t="str">
            <v>False</v>
          </cell>
          <cell r="E88" t="str">
            <v>BAFKBTR4</v>
          </cell>
        </row>
        <row r="89">
          <cell r="A89">
            <v>1368</v>
          </cell>
          <cell r="D89" t="str">
            <v>False</v>
          </cell>
          <cell r="E89" t="str">
            <v>BAFKBTR5</v>
          </cell>
        </row>
        <row r="90">
          <cell r="A90">
            <v>1363</v>
          </cell>
          <cell r="D90" t="str">
            <v>True</v>
          </cell>
          <cell r="E90" t="str">
            <v>BCKCHT</v>
          </cell>
        </row>
        <row r="91">
          <cell r="A91">
            <v>1404</v>
          </cell>
          <cell r="D91" t="str">
            <v>True</v>
          </cell>
          <cell r="E91" t="str">
            <v>BCHATDAT</v>
          </cell>
        </row>
        <row r="92">
          <cell r="A92">
            <v>1401</v>
          </cell>
          <cell r="D92" t="str">
            <v>False</v>
          </cell>
          <cell r="E92" t="str">
            <v>BCHSTR</v>
          </cell>
        </row>
        <row r="93">
          <cell r="A93">
            <v>459</v>
          </cell>
          <cell r="D93" t="str">
            <v>False</v>
          </cell>
          <cell r="E93" t="str">
            <v>BECKEB</v>
          </cell>
        </row>
        <row r="94">
          <cell r="A94">
            <v>1139</v>
          </cell>
          <cell r="D94" t="str">
            <v>False</v>
          </cell>
          <cell r="E94" t="str">
            <v>BECKEB2014</v>
          </cell>
        </row>
        <row r="95">
          <cell r="A95">
            <v>1324</v>
          </cell>
          <cell r="D95" t="str">
            <v>False</v>
          </cell>
          <cell r="E95" t="str">
            <v>BECKEB2018</v>
          </cell>
        </row>
        <row r="96">
          <cell r="A96">
            <v>1472</v>
          </cell>
          <cell r="D96" t="str">
            <v>True</v>
          </cell>
          <cell r="E96" t="str">
            <v>BEXRPF1</v>
          </cell>
        </row>
        <row r="97">
          <cell r="A97">
            <v>1406</v>
          </cell>
          <cell r="D97" t="str">
            <v>True</v>
          </cell>
          <cell r="E97" t="str">
            <v>BEXRPF2</v>
          </cell>
        </row>
        <row r="98">
          <cell r="A98">
            <v>228</v>
          </cell>
          <cell r="D98" t="str">
            <v>False</v>
          </cell>
          <cell r="E98" t="str">
            <v>FDARB</v>
          </cell>
        </row>
        <row r="99">
          <cell r="A99">
            <v>428</v>
          </cell>
          <cell r="D99" t="str">
            <v>False</v>
          </cell>
          <cell r="E99" t="str">
            <v>FDDSTR</v>
          </cell>
        </row>
        <row r="100">
          <cell r="A100">
            <v>245</v>
          </cell>
          <cell r="D100" t="str">
            <v>False</v>
          </cell>
          <cell r="E100" t="str">
            <v>FDERB</v>
          </cell>
        </row>
        <row r="101">
          <cell r="A101">
            <v>227</v>
          </cell>
          <cell r="D101" t="str">
            <v>False</v>
          </cell>
          <cell r="E101" t="str">
            <v>FDFAM</v>
          </cell>
        </row>
        <row r="102">
          <cell r="A102">
            <v>229</v>
          </cell>
          <cell r="D102" t="str">
            <v>False</v>
          </cell>
          <cell r="E102" t="str">
            <v>FDGRS</v>
          </cell>
        </row>
        <row r="103">
          <cell r="A103">
            <v>253</v>
          </cell>
          <cell r="D103" t="str">
            <v>False</v>
          </cell>
          <cell r="E103" t="str">
            <v>FDHGR</v>
          </cell>
        </row>
        <row r="104">
          <cell r="A104">
            <v>231</v>
          </cell>
          <cell r="D104" t="str">
            <v>False</v>
          </cell>
          <cell r="E104" t="str">
            <v>FDINSR</v>
          </cell>
        </row>
        <row r="105">
          <cell r="A105">
            <v>962</v>
          </cell>
          <cell r="D105" t="str">
            <v>True</v>
          </cell>
          <cell r="E105" t="str">
            <v>FDMGR</v>
          </cell>
        </row>
        <row r="106">
          <cell r="A106">
            <v>298</v>
          </cell>
          <cell r="D106" t="str">
            <v>False</v>
          </cell>
          <cell r="E106" t="str">
            <v>FDMA</v>
          </cell>
        </row>
        <row r="107">
          <cell r="A107">
            <v>230</v>
          </cell>
          <cell r="D107" t="str">
            <v>False</v>
          </cell>
          <cell r="E107" t="str">
            <v>FDMW</v>
          </cell>
        </row>
        <row r="108">
          <cell r="A108">
            <v>315</v>
          </cell>
          <cell r="D108" t="str">
            <v>False</v>
          </cell>
          <cell r="E108" t="str">
            <v>FDPREM</v>
          </cell>
        </row>
        <row r="109">
          <cell r="A109">
            <v>619</v>
          </cell>
          <cell r="D109" t="str">
            <v>True</v>
          </cell>
          <cell r="E109" t="str">
            <v>FDSVR</v>
          </cell>
        </row>
        <row r="110">
          <cell r="A110">
            <v>246</v>
          </cell>
          <cell r="D110" t="str">
            <v>False</v>
          </cell>
          <cell r="E110" t="str">
            <v>FDST</v>
          </cell>
        </row>
        <row r="111">
          <cell r="A111">
            <v>252</v>
          </cell>
          <cell r="D111" t="str">
            <v>False</v>
          </cell>
          <cell r="E111" t="str">
            <v>FDSTV</v>
          </cell>
        </row>
        <row r="112">
          <cell r="A112">
            <v>587</v>
          </cell>
          <cell r="D112" t="str">
            <v>False</v>
          </cell>
          <cell r="E112" t="str">
            <v>FDUW</v>
          </cell>
        </row>
        <row r="113">
          <cell r="A113">
            <v>297</v>
          </cell>
          <cell r="D113" t="str">
            <v>False</v>
          </cell>
          <cell r="E113" t="str">
            <v>FDRVG</v>
          </cell>
        </row>
        <row r="114">
          <cell r="A114">
            <v>251</v>
          </cell>
          <cell r="D114" t="str">
            <v>True</v>
          </cell>
          <cell r="E114" t="str">
            <v>FDVERS</v>
          </cell>
        </row>
        <row r="115">
          <cell r="A115">
            <v>73</v>
          </cell>
          <cell r="D115" t="str">
            <v>False</v>
          </cell>
          <cell r="E115" t="str">
            <v>LMKP</v>
          </cell>
        </row>
        <row r="116">
          <cell r="A116">
            <v>1054</v>
          </cell>
          <cell r="D116" t="str">
            <v>True</v>
          </cell>
          <cell r="E116" t="str">
            <v>LMKALLAW</v>
          </cell>
        </row>
        <row r="117">
          <cell r="A117">
            <v>620</v>
          </cell>
          <cell r="D117" t="str">
            <v>False</v>
          </cell>
          <cell r="E117" t="str">
            <v>FDZVR</v>
          </cell>
        </row>
        <row r="118">
          <cell r="A118">
            <v>377</v>
          </cell>
          <cell r="D118" t="str">
            <v>False</v>
          </cell>
          <cell r="E118" t="str">
            <v>KPBWGZ</v>
          </cell>
        </row>
        <row r="119">
          <cell r="A119">
            <v>161</v>
          </cell>
          <cell r="D119" t="str">
            <v>False</v>
          </cell>
          <cell r="E119" t="str">
            <v>PDKBW</v>
          </cell>
        </row>
        <row r="120">
          <cell r="A120">
            <v>162</v>
          </cell>
          <cell r="D120" t="str">
            <v>False</v>
          </cell>
          <cell r="E120" t="str">
            <v>PDKBAY</v>
          </cell>
        </row>
        <row r="121">
          <cell r="A121">
            <v>164</v>
          </cell>
          <cell r="D121" t="str">
            <v>False</v>
          </cell>
          <cell r="E121" t="str">
            <v>PDKBRB</v>
          </cell>
        </row>
        <row r="122">
          <cell r="A122">
            <v>378</v>
          </cell>
          <cell r="D122" t="str">
            <v>False</v>
          </cell>
          <cell r="E122" t="str">
            <v>KPGTBW</v>
          </cell>
        </row>
        <row r="123">
          <cell r="A123">
            <v>165</v>
          </cell>
          <cell r="D123" t="str">
            <v>False</v>
          </cell>
          <cell r="E123" t="str">
            <v>PDKHES</v>
          </cell>
        </row>
        <row r="124">
          <cell r="A124">
            <v>166</v>
          </cell>
          <cell r="D124" t="str">
            <v>False</v>
          </cell>
          <cell r="E124" t="str">
            <v>PDKMV</v>
          </cell>
        </row>
        <row r="125">
          <cell r="A125">
            <v>167</v>
          </cell>
          <cell r="D125" t="str">
            <v>False</v>
          </cell>
          <cell r="E125" t="str">
            <v>PDKNDS</v>
          </cell>
        </row>
        <row r="126">
          <cell r="A126">
            <v>160</v>
          </cell>
          <cell r="D126" t="str">
            <v>False</v>
          </cell>
          <cell r="E126" t="str">
            <v>PDKNRW</v>
          </cell>
        </row>
        <row r="127">
          <cell r="A127">
            <v>314</v>
          </cell>
          <cell r="D127" t="str">
            <v>True</v>
          </cell>
          <cell r="E127" t="str">
            <v>PDKGES</v>
          </cell>
        </row>
        <row r="128">
          <cell r="A128">
            <v>168</v>
          </cell>
          <cell r="D128" t="str">
            <v>False</v>
          </cell>
          <cell r="E128" t="str">
            <v>PDKRPF</v>
          </cell>
        </row>
        <row r="129">
          <cell r="A129">
            <v>169</v>
          </cell>
          <cell r="D129" t="str">
            <v>False</v>
          </cell>
          <cell r="E129" t="str">
            <v>PDKSA</v>
          </cell>
        </row>
        <row r="130">
          <cell r="A130">
            <v>170</v>
          </cell>
          <cell r="D130" t="str">
            <v>False</v>
          </cell>
          <cell r="E130" t="str">
            <v>PDKLSA</v>
          </cell>
        </row>
        <row r="131">
          <cell r="A131">
            <v>171</v>
          </cell>
          <cell r="D131" t="str">
            <v>False</v>
          </cell>
          <cell r="E131" t="str">
            <v>PDKSH</v>
          </cell>
        </row>
        <row r="132">
          <cell r="A132">
            <v>172</v>
          </cell>
          <cell r="D132" t="str">
            <v>False</v>
          </cell>
          <cell r="E132" t="str">
            <v>PDKTH</v>
          </cell>
        </row>
        <row r="133">
          <cell r="A133">
            <v>84</v>
          </cell>
          <cell r="D133" t="str">
            <v>False</v>
          </cell>
          <cell r="E133" t="str">
            <v>BOMOBILE</v>
          </cell>
        </row>
        <row r="134">
          <cell r="A134">
            <v>1439</v>
          </cell>
          <cell r="D134" t="str">
            <v>True</v>
          </cell>
          <cell r="E134" t="str">
            <v>BNLAIWS</v>
          </cell>
        </row>
        <row r="135">
          <cell r="A135">
            <v>1221</v>
          </cell>
          <cell r="D135" t="str">
            <v>True</v>
          </cell>
          <cell r="E135" t="str">
            <v>OGKAKTR</v>
          </cell>
        </row>
        <row r="136">
          <cell r="A136">
            <v>1318</v>
          </cell>
          <cell r="D136" t="str">
            <v>False</v>
          </cell>
          <cell r="E136" t="str">
            <v>OGKBETRIEBSVERFR</v>
          </cell>
        </row>
        <row r="137">
          <cell r="A137">
            <v>979</v>
          </cell>
          <cell r="D137" t="str">
            <v>False</v>
          </cell>
          <cell r="E137" t="str">
            <v>OGKABGBAT</v>
          </cell>
        </row>
        <row r="138">
          <cell r="A138">
            <v>986</v>
          </cell>
          <cell r="D138" t="str">
            <v>False</v>
          </cell>
          <cell r="E138" t="str">
            <v>OGKABGBERBR</v>
          </cell>
        </row>
        <row r="139">
          <cell r="A139">
            <v>985</v>
          </cell>
          <cell r="D139" t="str">
            <v>True</v>
          </cell>
          <cell r="E139" t="str">
            <v>OGKABGBFAMR</v>
          </cell>
        </row>
        <row r="140">
          <cell r="A140">
            <v>984</v>
          </cell>
          <cell r="D140" t="str">
            <v>True</v>
          </cell>
          <cell r="E140" t="str">
            <v>OGKABGBSACHEN</v>
          </cell>
        </row>
        <row r="141">
          <cell r="A141">
            <v>983</v>
          </cell>
          <cell r="D141" t="str">
            <v>True</v>
          </cell>
          <cell r="E141" t="str">
            <v>OGKABGBSCHULD</v>
          </cell>
        </row>
        <row r="142">
          <cell r="A142">
            <v>1125</v>
          </cell>
          <cell r="D142" t="str">
            <v>True</v>
          </cell>
          <cell r="E142" t="str">
            <v>OGKHGBBILANZRECHT</v>
          </cell>
        </row>
        <row r="143">
          <cell r="A143">
            <v>1175</v>
          </cell>
          <cell r="D143" t="str">
            <v>True</v>
          </cell>
          <cell r="E143" t="str">
            <v>OGKHGBGMBHRECHT</v>
          </cell>
        </row>
        <row r="144">
          <cell r="A144">
            <v>1124</v>
          </cell>
          <cell r="D144" t="str">
            <v>True</v>
          </cell>
          <cell r="E144" t="str">
            <v>OGKHGBKERNBEREICH</v>
          </cell>
        </row>
        <row r="145">
          <cell r="A145">
            <v>1411</v>
          </cell>
          <cell r="D145" t="str">
            <v>True</v>
          </cell>
          <cell r="E145" t="str">
            <v>OGKHINSCHR</v>
          </cell>
        </row>
        <row r="146">
          <cell r="A146">
            <v>1317</v>
          </cell>
          <cell r="D146" t="str">
            <v>False</v>
          </cell>
          <cell r="E146" t="str">
            <v>OGKKUENDIGUNGSR</v>
          </cell>
        </row>
        <row r="147">
          <cell r="A147">
            <v>988</v>
          </cell>
          <cell r="D147" t="str">
            <v>True</v>
          </cell>
          <cell r="E147" t="str">
            <v>OGKANGFAMRERBR</v>
          </cell>
        </row>
        <row r="148">
          <cell r="A148">
            <v>987</v>
          </cell>
          <cell r="D148" t="str">
            <v>True</v>
          </cell>
          <cell r="E148" t="str">
            <v>OGKANGMIETRSACHR</v>
          </cell>
        </row>
        <row r="149">
          <cell r="A149">
            <v>990</v>
          </cell>
          <cell r="D149" t="str">
            <v>True</v>
          </cell>
          <cell r="E149" t="str">
            <v>OGKANGSCHULDR</v>
          </cell>
        </row>
        <row r="150">
          <cell r="A150">
            <v>991</v>
          </cell>
          <cell r="D150" t="str">
            <v>True</v>
          </cell>
          <cell r="E150" t="str">
            <v>OGKANGSONST</v>
          </cell>
        </row>
        <row r="151">
          <cell r="A151">
            <v>1320</v>
          </cell>
          <cell r="D151" t="str">
            <v>False</v>
          </cell>
          <cell r="E151" t="str">
            <v>OGKSOZR</v>
          </cell>
        </row>
        <row r="152">
          <cell r="A152">
            <v>1126</v>
          </cell>
          <cell r="D152" t="str">
            <v>True</v>
          </cell>
          <cell r="E152" t="str">
            <v>OGKHGBTRANSPORTRECHT</v>
          </cell>
        </row>
        <row r="153">
          <cell r="A153">
            <v>1418</v>
          </cell>
          <cell r="D153" t="str">
            <v>True</v>
          </cell>
          <cell r="E153" t="str">
            <v>OGKAZIVILVERFAMFG</v>
          </cell>
        </row>
        <row r="154">
          <cell r="A154">
            <v>1419</v>
          </cell>
          <cell r="D154" t="str">
            <v>True</v>
          </cell>
          <cell r="E154" t="str">
            <v>OGKAZIVILVERFRGVG</v>
          </cell>
        </row>
        <row r="155">
          <cell r="A155">
            <v>1412</v>
          </cell>
          <cell r="D155" t="str">
            <v>True</v>
          </cell>
          <cell r="E155" t="str">
            <v>OGKAZIVILVERFRZPO</v>
          </cell>
        </row>
        <row r="156">
          <cell r="A156">
            <v>1413</v>
          </cell>
          <cell r="D156" t="str">
            <v>True</v>
          </cell>
          <cell r="E156" t="str">
            <v>OGKAZIVILVERFRNR</v>
          </cell>
        </row>
        <row r="157">
          <cell r="A157">
            <v>1420</v>
          </cell>
          <cell r="D157" t="str">
            <v>True</v>
          </cell>
          <cell r="E157" t="str">
            <v>OGKAZIVILVERFRSR</v>
          </cell>
        </row>
        <row r="158">
          <cell r="A158">
            <v>1421</v>
          </cell>
          <cell r="D158" t="str">
            <v>True</v>
          </cell>
          <cell r="E158" t="str">
            <v>OGKAZIVILVERFRPSYCH</v>
          </cell>
        </row>
        <row r="159">
          <cell r="A159">
            <v>993</v>
          </cell>
          <cell r="D159" t="str">
            <v>True</v>
          </cell>
          <cell r="E159" t="str">
            <v>BECKOKAO-AUTOR</v>
          </cell>
        </row>
        <row r="160">
          <cell r="A160">
            <v>178</v>
          </cell>
          <cell r="D160" t="str">
            <v>False</v>
          </cell>
          <cell r="E160" t="str">
            <v>KOBAMP</v>
          </cell>
        </row>
        <row r="161">
          <cell r="A161">
            <v>1075</v>
          </cell>
          <cell r="D161" t="str">
            <v>True</v>
          </cell>
          <cell r="E161" t="str">
            <v>BECKOKERBSTG-AUTOR</v>
          </cell>
        </row>
        <row r="162">
          <cell r="A162">
            <v>1040</v>
          </cell>
          <cell r="D162" t="str">
            <v>True</v>
          </cell>
          <cell r="E162" t="str">
            <v>BECKOKESTG-AUTOR</v>
          </cell>
        </row>
        <row r="163">
          <cell r="A163">
            <v>1044</v>
          </cell>
          <cell r="D163" t="str">
            <v>False</v>
          </cell>
          <cell r="E163" t="str">
            <v>OKSTRB</v>
          </cell>
        </row>
        <row r="164">
          <cell r="A164">
            <v>287</v>
          </cell>
          <cell r="D164" t="str">
            <v>False</v>
          </cell>
          <cell r="E164" t="str">
            <v>OKUW</v>
          </cell>
        </row>
        <row r="165">
          <cell r="A165">
            <v>956</v>
          </cell>
          <cell r="D165" t="str">
            <v>True</v>
          </cell>
          <cell r="E165" t="str">
            <v>JUBTBRB</v>
          </cell>
        </row>
        <row r="166">
          <cell r="A166">
            <v>540</v>
          </cell>
          <cell r="D166" t="str">
            <v>True</v>
          </cell>
          <cell r="E166" t="str">
            <v>BOPREMNEU</v>
          </cell>
        </row>
        <row r="167">
          <cell r="A167">
            <v>1003</v>
          </cell>
          <cell r="D167" t="str">
            <v>True</v>
          </cell>
          <cell r="E167" t="str">
            <v>BOPREM</v>
          </cell>
        </row>
        <row r="168">
          <cell r="A168">
            <v>1480</v>
          </cell>
          <cell r="D168" t="str">
            <v>True</v>
          </cell>
          <cell r="E168" t="str">
            <v>BOPREMBN</v>
          </cell>
        </row>
        <row r="169">
          <cell r="A169">
            <v>794</v>
          </cell>
          <cell r="D169" t="str">
            <v>True</v>
          </cell>
          <cell r="E169" t="str">
            <v>BOPREMSTB</v>
          </cell>
        </row>
        <row r="170">
          <cell r="A170">
            <v>756</v>
          </cell>
          <cell r="D170" t="str">
            <v>True</v>
          </cell>
          <cell r="E170" t="str">
            <v>RVBUND</v>
          </cell>
        </row>
        <row r="171">
          <cell r="A171">
            <v>773</v>
          </cell>
          <cell r="D171" t="str">
            <v>False</v>
          </cell>
          <cell r="E171" t="str">
            <v>BOPREMN14</v>
          </cell>
        </row>
        <row r="172">
          <cell r="A172">
            <v>34</v>
          </cell>
          <cell r="D172" t="str">
            <v>False</v>
          </cell>
          <cell r="E172" t="str">
            <v>BOKPL</v>
          </cell>
        </row>
        <row r="173">
          <cell r="A173">
            <v>792</v>
          </cell>
          <cell r="D173" t="str">
            <v>False</v>
          </cell>
          <cell r="E173" t="str">
            <v>BOKPLS</v>
          </cell>
        </row>
        <row r="174">
          <cell r="A174">
            <v>752</v>
          </cell>
          <cell r="D174" t="str">
            <v>False</v>
          </cell>
          <cell r="E174" t="str">
            <v>REFBYB</v>
          </cell>
        </row>
        <row r="175">
          <cell r="A175">
            <v>796</v>
          </cell>
          <cell r="D175" t="str">
            <v>False</v>
          </cell>
          <cell r="E175" t="str">
            <v>REFBLN</v>
          </cell>
        </row>
        <row r="176">
          <cell r="A176">
            <v>952</v>
          </cell>
          <cell r="D176" t="str">
            <v>False</v>
          </cell>
          <cell r="E176" t="str">
            <v>REFBRE</v>
          </cell>
        </row>
        <row r="177">
          <cell r="A177">
            <v>998</v>
          </cell>
          <cell r="D177" t="str">
            <v>True</v>
          </cell>
          <cell r="E177" t="str">
            <v>KOOGKGESAMT</v>
          </cell>
        </row>
        <row r="178">
          <cell r="A178">
            <v>937</v>
          </cell>
          <cell r="D178" t="str">
            <v>False</v>
          </cell>
          <cell r="E178" t="str">
            <v>KOOGKHGR</v>
          </cell>
        </row>
        <row r="179">
          <cell r="A179">
            <v>766</v>
          </cell>
          <cell r="D179" t="str">
            <v>False</v>
          </cell>
          <cell r="E179" t="str">
            <v>KOOGK</v>
          </cell>
        </row>
        <row r="180">
          <cell r="A180">
            <v>1378</v>
          </cell>
          <cell r="D180" t="str">
            <v>False</v>
          </cell>
          <cell r="E180" t="str">
            <v>OOGKZIVILVERFR</v>
          </cell>
        </row>
        <row r="181">
          <cell r="A181">
            <v>865</v>
          </cell>
          <cell r="D181" t="str">
            <v>False</v>
          </cell>
          <cell r="E181" t="str">
            <v>OGKAERBR</v>
          </cell>
        </row>
        <row r="182">
          <cell r="A182">
            <v>799</v>
          </cell>
          <cell r="D182" t="str">
            <v>False</v>
          </cell>
          <cell r="E182" t="str">
            <v>OGKAEUERB</v>
          </cell>
        </row>
        <row r="183">
          <cell r="A183">
            <v>866</v>
          </cell>
          <cell r="D183" t="str">
            <v>False</v>
          </cell>
          <cell r="E183" t="str">
            <v>OGKAFAMR</v>
          </cell>
        </row>
        <row r="184">
          <cell r="A184">
            <v>817</v>
          </cell>
          <cell r="D184" t="str">
            <v>False</v>
          </cell>
          <cell r="E184" t="str">
            <v>OGKAMR</v>
          </cell>
        </row>
        <row r="185">
          <cell r="A185">
            <v>997</v>
          </cell>
          <cell r="D185" t="str">
            <v>False</v>
          </cell>
          <cell r="E185" t="str">
            <v>OGKUWR</v>
          </cell>
        </row>
        <row r="186">
          <cell r="A186">
            <v>844</v>
          </cell>
          <cell r="D186" t="str">
            <v>False</v>
          </cell>
          <cell r="E186" t="str">
            <v>OGKAWVR</v>
          </cell>
        </row>
        <row r="187">
          <cell r="A187">
            <v>1164</v>
          </cell>
          <cell r="D187" t="str">
            <v>False</v>
          </cell>
          <cell r="E187" t="str">
            <v>KOOGKAKTR</v>
          </cell>
        </row>
        <row r="188">
          <cell r="A188">
            <v>1314</v>
          </cell>
          <cell r="D188" t="str">
            <v>False</v>
          </cell>
          <cell r="E188" t="str">
            <v>KOGKAKTR</v>
          </cell>
        </row>
        <row r="189">
          <cell r="A189">
            <v>1276</v>
          </cell>
          <cell r="D189" t="str">
            <v>False</v>
          </cell>
          <cell r="E189" t="str">
            <v>OGKABVR</v>
          </cell>
        </row>
        <row r="190">
          <cell r="A190">
            <v>1110</v>
          </cell>
          <cell r="D190" t="str">
            <v>False</v>
          </cell>
          <cell r="E190" t="str">
            <v>OGKABIR</v>
          </cell>
        </row>
        <row r="191">
          <cell r="A191">
            <v>1310</v>
          </cell>
          <cell r="D191" t="str">
            <v>False</v>
          </cell>
          <cell r="E191" t="str">
            <v>KOGKBIR</v>
          </cell>
        </row>
        <row r="192">
          <cell r="A192">
            <v>1367</v>
          </cell>
          <cell r="D192" t="str">
            <v>False</v>
          </cell>
          <cell r="E192" t="str">
            <v>OGKENR</v>
          </cell>
        </row>
        <row r="193">
          <cell r="A193">
            <v>1174</v>
          </cell>
          <cell r="D193" t="str">
            <v>False</v>
          </cell>
          <cell r="E193" t="str">
            <v>OGKAGMBHR</v>
          </cell>
        </row>
        <row r="194">
          <cell r="A194">
            <v>1313</v>
          </cell>
          <cell r="D194" t="str">
            <v>False</v>
          </cell>
          <cell r="E194" t="str">
            <v>KOGKGMBH</v>
          </cell>
        </row>
        <row r="195">
          <cell r="A195">
            <v>1109</v>
          </cell>
          <cell r="D195" t="str">
            <v>False</v>
          </cell>
          <cell r="E195" t="str">
            <v>OGKAHGBK</v>
          </cell>
        </row>
        <row r="196">
          <cell r="A196">
            <v>1301</v>
          </cell>
          <cell r="D196" t="str">
            <v>False</v>
          </cell>
          <cell r="E196" t="str">
            <v>KOOGKHR1</v>
          </cell>
        </row>
        <row r="197">
          <cell r="A197">
            <v>1322</v>
          </cell>
          <cell r="D197" t="str">
            <v>False</v>
          </cell>
          <cell r="E197" t="str">
            <v>OGKAHINSCHR</v>
          </cell>
        </row>
        <row r="198">
          <cell r="A198">
            <v>1467</v>
          </cell>
          <cell r="D198" t="str">
            <v>False</v>
          </cell>
          <cell r="E198" t="str">
            <v>OGKAKAPITALMARKTR</v>
          </cell>
        </row>
        <row r="199">
          <cell r="A199">
            <v>1232</v>
          </cell>
          <cell r="D199" t="str">
            <v>False</v>
          </cell>
          <cell r="E199" t="str">
            <v>OGKAKR</v>
          </cell>
        </row>
        <row r="200">
          <cell r="A200">
            <v>1380</v>
          </cell>
          <cell r="D200" t="str">
            <v>False</v>
          </cell>
          <cell r="E200" t="str">
            <v>[KOPIE1] KOOGKUWR</v>
          </cell>
        </row>
        <row r="201">
          <cell r="A201">
            <v>1325</v>
          </cell>
          <cell r="D201" t="str">
            <v>False</v>
          </cell>
          <cell r="E201" t="str">
            <v>KOOGKSGB</v>
          </cell>
        </row>
        <row r="202">
          <cell r="A202">
            <v>1381</v>
          </cell>
          <cell r="D202" t="str">
            <v>False</v>
          </cell>
          <cell r="E202" t="str">
            <v>OGKSTRAFRECHT</v>
          </cell>
        </row>
        <row r="203">
          <cell r="A203">
            <v>1393</v>
          </cell>
          <cell r="D203" t="str">
            <v>False</v>
          </cell>
          <cell r="E203" t="str">
            <v>OGKSTRAFVERFRECHT</v>
          </cell>
        </row>
        <row r="204">
          <cell r="A204">
            <v>1334</v>
          </cell>
          <cell r="D204" t="str">
            <v>False</v>
          </cell>
          <cell r="E204" t="str">
            <v>OGKKATEST</v>
          </cell>
        </row>
        <row r="205">
          <cell r="A205">
            <v>1111</v>
          </cell>
          <cell r="D205" t="str">
            <v>False</v>
          </cell>
          <cell r="E205" t="str">
            <v>OGKATPR</v>
          </cell>
        </row>
        <row r="206">
          <cell r="A206">
            <v>1311</v>
          </cell>
          <cell r="D206" t="str">
            <v>False</v>
          </cell>
          <cell r="E206" t="str">
            <v>KOGKTPR</v>
          </cell>
        </row>
        <row r="207">
          <cell r="A207">
            <v>977</v>
          </cell>
          <cell r="D207" t="str">
            <v>False</v>
          </cell>
          <cell r="E207" t="str">
            <v>KOOGKUWR</v>
          </cell>
        </row>
        <row r="208">
          <cell r="A208">
            <v>1312</v>
          </cell>
          <cell r="D208" t="str">
            <v>False</v>
          </cell>
          <cell r="E208" t="str">
            <v>KOGKUWR</v>
          </cell>
        </row>
        <row r="209">
          <cell r="A209">
            <v>960</v>
          </cell>
          <cell r="D209" t="str">
            <v>False</v>
          </cell>
          <cell r="E209" t="str">
            <v>REFHES</v>
          </cell>
        </row>
        <row r="210">
          <cell r="A210">
            <v>191</v>
          </cell>
          <cell r="D210" t="str">
            <v>True</v>
          </cell>
        </row>
        <row r="211">
          <cell r="A211">
            <v>823</v>
          </cell>
          <cell r="D211" t="str">
            <v>False</v>
          </cell>
          <cell r="E211" t="str">
            <v>REFRPF</v>
          </cell>
        </row>
        <row r="212">
          <cell r="A212">
            <v>779</v>
          </cell>
          <cell r="D212" t="str">
            <v>False</v>
          </cell>
          <cell r="E212" t="str">
            <v>REFLSA</v>
          </cell>
        </row>
        <row r="213">
          <cell r="A213">
            <v>886</v>
          </cell>
          <cell r="D213" t="str">
            <v>False</v>
          </cell>
          <cell r="E213" t="str">
            <v>REFSH</v>
          </cell>
        </row>
        <row r="214">
          <cell r="A214">
            <v>79</v>
          </cell>
          <cell r="D214" t="str">
            <v>False</v>
          </cell>
          <cell r="E214" t="str">
            <v>BOIMMDATP</v>
          </cell>
        </row>
        <row r="215">
          <cell r="A215">
            <v>1118</v>
          </cell>
          <cell r="D215" t="str">
            <v>False</v>
          </cell>
          <cell r="E215" t="str">
            <v>IMMDAT20</v>
          </cell>
        </row>
        <row r="216">
          <cell r="A216">
            <v>1176</v>
          </cell>
          <cell r="D216" t="str">
            <v>False</v>
          </cell>
          <cell r="E216" t="str">
            <v>IMMDAT21</v>
          </cell>
        </row>
        <row r="217">
          <cell r="A217">
            <v>1230</v>
          </cell>
          <cell r="D217" t="str">
            <v>False</v>
          </cell>
          <cell r="E217" t="str">
            <v>IMMDAT22</v>
          </cell>
        </row>
        <row r="218">
          <cell r="A218">
            <v>1280</v>
          </cell>
          <cell r="D218" t="str">
            <v>False</v>
          </cell>
          <cell r="E218" t="str">
            <v>IMMDAT23</v>
          </cell>
        </row>
        <row r="219">
          <cell r="A219">
            <v>1330</v>
          </cell>
          <cell r="D219" t="str">
            <v>False</v>
          </cell>
          <cell r="E219" t="str">
            <v>IMMDAT24</v>
          </cell>
        </row>
        <row r="220">
          <cell r="A220">
            <v>1371</v>
          </cell>
          <cell r="D220" t="str">
            <v>False</v>
          </cell>
          <cell r="E220" t="str">
            <v>IMMDAT25</v>
          </cell>
        </row>
        <row r="221">
          <cell r="A221">
            <v>1452</v>
          </cell>
          <cell r="D221" t="str">
            <v>False</v>
          </cell>
          <cell r="E221" t="str">
            <v>IMMDAT26</v>
          </cell>
        </row>
        <row r="222">
          <cell r="A222">
            <v>627</v>
          </cell>
          <cell r="D222" t="str">
            <v>False</v>
          </cell>
          <cell r="E222" t="str">
            <v>PEPSP</v>
          </cell>
        </row>
        <row r="223">
          <cell r="A223">
            <v>629</v>
          </cell>
          <cell r="D223" t="str">
            <v>False</v>
          </cell>
          <cell r="E223" t="str">
            <v>PEPSPREM</v>
          </cell>
        </row>
        <row r="224">
          <cell r="A224">
            <v>141</v>
          </cell>
          <cell r="D224" t="str">
            <v>True</v>
          </cell>
        </row>
        <row r="225">
          <cell r="A225">
            <v>243</v>
          </cell>
          <cell r="D225" t="str">
            <v>True</v>
          </cell>
        </row>
        <row r="226">
          <cell r="A226">
            <v>147</v>
          </cell>
          <cell r="D226" t="str">
            <v>False</v>
          </cell>
          <cell r="E226" t="str">
            <v>BGDBW</v>
          </cell>
        </row>
        <row r="227">
          <cell r="A227">
            <v>148</v>
          </cell>
          <cell r="D227" t="str">
            <v>False</v>
          </cell>
          <cell r="E227" t="str">
            <v>BGDBAY</v>
          </cell>
        </row>
        <row r="228">
          <cell r="A228">
            <v>149</v>
          </cell>
          <cell r="D228" t="str">
            <v>False</v>
          </cell>
          <cell r="E228" t="str">
            <v>BGDBLN</v>
          </cell>
        </row>
        <row r="229">
          <cell r="A229">
            <v>192</v>
          </cell>
          <cell r="D229" t="str">
            <v>False</v>
          </cell>
          <cell r="E229" t="str">
            <v>BGDBRB</v>
          </cell>
        </row>
        <row r="230">
          <cell r="A230">
            <v>150</v>
          </cell>
          <cell r="D230" t="str">
            <v>False</v>
          </cell>
          <cell r="E230" t="str">
            <v>BGDBRE</v>
          </cell>
        </row>
        <row r="231">
          <cell r="A231">
            <v>151</v>
          </cell>
          <cell r="D231" t="str">
            <v>False</v>
          </cell>
          <cell r="E231" t="str">
            <v>BGDHBG</v>
          </cell>
        </row>
        <row r="232">
          <cell r="A232">
            <v>152</v>
          </cell>
          <cell r="D232" t="str">
            <v>False</v>
          </cell>
          <cell r="E232" t="str">
            <v>BGDHES</v>
          </cell>
        </row>
        <row r="233">
          <cell r="A233">
            <v>186</v>
          </cell>
          <cell r="D233" t="str">
            <v>False</v>
          </cell>
          <cell r="E233" t="str">
            <v>BGDMV</v>
          </cell>
        </row>
        <row r="234">
          <cell r="A234">
            <v>153</v>
          </cell>
          <cell r="D234" t="str">
            <v>False</v>
          </cell>
          <cell r="E234" t="str">
            <v>BGDNDS</v>
          </cell>
        </row>
        <row r="235">
          <cell r="A235">
            <v>154</v>
          </cell>
          <cell r="D235" t="str">
            <v>False</v>
          </cell>
          <cell r="E235" t="str">
            <v>BGDNRW</v>
          </cell>
        </row>
        <row r="236">
          <cell r="A236">
            <v>155</v>
          </cell>
          <cell r="D236" t="str">
            <v>False</v>
          </cell>
          <cell r="E236" t="str">
            <v>BGDRPF</v>
          </cell>
        </row>
        <row r="237">
          <cell r="A237">
            <v>187</v>
          </cell>
          <cell r="D237" t="str">
            <v>False</v>
          </cell>
          <cell r="E237" t="str">
            <v>BGDSL</v>
          </cell>
        </row>
        <row r="238">
          <cell r="A238">
            <v>156</v>
          </cell>
          <cell r="D238" t="str">
            <v>False</v>
          </cell>
          <cell r="E238" t="str">
            <v>BGDSA</v>
          </cell>
        </row>
        <row r="239">
          <cell r="A239">
            <v>200</v>
          </cell>
          <cell r="D239" t="str">
            <v>False</v>
          </cell>
          <cell r="E239" t="str">
            <v>BGDLSA</v>
          </cell>
        </row>
        <row r="240">
          <cell r="A240">
            <v>194</v>
          </cell>
          <cell r="D240" t="str">
            <v>False</v>
          </cell>
          <cell r="E240" t="str">
            <v>BGDSH</v>
          </cell>
        </row>
        <row r="241">
          <cell r="A241">
            <v>157</v>
          </cell>
          <cell r="D241" t="str">
            <v>False</v>
          </cell>
          <cell r="E241" t="str">
            <v>BGDTH</v>
          </cell>
        </row>
        <row r="242">
          <cell r="A242">
            <v>1284</v>
          </cell>
          <cell r="D242" t="str">
            <v>True</v>
          </cell>
          <cell r="E242" t="str">
            <v>BECKIF</v>
          </cell>
        </row>
        <row r="243">
          <cell r="A243">
            <v>507</v>
          </cell>
          <cell r="D243" t="str">
            <v>False</v>
          </cell>
          <cell r="E243" t="str">
            <v>BECKOFPREM</v>
          </cell>
        </row>
        <row r="244">
          <cell r="A244">
            <v>503</v>
          </cell>
          <cell r="D244" t="str">
            <v>False</v>
          </cell>
          <cell r="E244" t="str">
            <v>BECKOFPF</v>
          </cell>
        </row>
        <row r="245">
          <cell r="A245">
            <v>673</v>
          </cell>
          <cell r="D245" t="str">
            <v>False</v>
          </cell>
        </row>
        <row r="246">
          <cell r="A246">
            <v>318</v>
          </cell>
          <cell r="D246" t="str">
            <v>False</v>
          </cell>
          <cell r="E246" t="str">
            <v>BECKOF</v>
          </cell>
        </row>
        <row r="247">
          <cell r="A247">
            <v>433</v>
          </cell>
          <cell r="D247" t="str">
            <v>False</v>
          </cell>
          <cell r="E247" t="str">
            <v>OKPREM</v>
          </cell>
        </row>
        <row r="248">
          <cell r="A248">
            <v>874</v>
          </cell>
          <cell r="D248" t="str">
            <v>True</v>
          </cell>
          <cell r="E248" t="str">
            <v>OKBEAMTR</v>
          </cell>
        </row>
        <row r="249">
          <cell r="A249">
            <v>750</v>
          </cell>
          <cell r="D249" t="str">
            <v>True</v>
          </cell>
          <cell r="E249" t="str">
            <v>OKBORA</v>
          </cell>
        </row>
        <row r="250">
          <cell r="A250">
            <v>791</v>
          </cell>
          <cell r="D250" t="str">
            <v>False</v>
          </cell>
          <cell r="E250" t="str">
            <v>OKEEG</v>
          </cell>
        </row>
        <row r="251">
          <cell r="A251">
            <v>585</v>
          </cell>
          <cell r="D251" t="str">
            <v>True</v>
          </cell>
          <cell r="E251" t="str">
            <v>OKFAMFG</v>
          </cell>
        </row>
        <row r="252">
          <cell r="A252">
            <v>969</v>
          </cell>
          <cell r="D252" t="str">
            <v>True</v>
          </cell>
          <cell r="E252" t="str">
            <v>OKFLUGGRVO</v>
          </cell>
        </row>
        <row r="253">
          <cell r="A253">
            <v>586</v>
          </cell>
          <cell r="D253" t="str">
            <v>True</v>
          </cell>
          <cell r="E253" t="str">
            <v>OKGBO</v>
          </cell>
        </row>
        <row r="254">
          <cell r="A254">
            <v>333</v>
          </cell>
          <cell r="D254" t="str">
            <v>True</v>
          </cell>
          <cell r="E254" t="str">
            <v>OKGEW</v>
          </cell>
        </row>
        <row r="255">
          <cell r="A255">
            <v>330</v>
          </cell>
          <cell r="D255" t="str">
            <v>True</v>
          </cell>
          <cell r="E255" t="str">
            <v>OKGMBH</v>
          </cell>
        </row>
        <row r="256">
          <cell r="A256">
            <v>625</v>
          </cell>
          <cell r="D256" t="str">
            <v>True</v>
          </cell>
          <cell r="E256" t="str">
            <v>OKHGB</v>
          </cell>
        </row>
        <row r="257">
          <cell r="A257">
            <v>939</v>
          </cell>
          <cell r="D257" t="str">
            <v>True</v>
          </cell>
          <cell r="E257" t="str">
            <v>BECKOKHSR</v>
          </cell>
        </row>
        <row r="258">
          <cell r="A258">
            <v>755</v>
          </cell>
          <cell r="D258" t="str">
            <v>False</v>
          </cell>
          <cell r="E258">
            <v>0</v>
          </cell>
        </row>
        <row r="259">
          <cell r="A259">
            <v>913</v>
          </cell>
          <cell r="D259" t="str">
            <v>True</v>
          </cell>
          <cell r="E259" t="str">
            <v>OKINSO</v>
          </cell>
        </row>
        <row r="260">
          <cell r="A260">
            <v>869</v>
          </cell>
          <cell r="D260" t="str">
            <v>True</v>
          </cell>
          <cell r="E260" t="str">
            <v>OKKOMMR</v>
          </cell>
        </row>
        <row r="261">
          <cell r="A261">
            <v>731</v>
          </cell>
          <cell r="D261" t="str">
            <v>False</v>
          </cell>
          <cell r="E261" t="str">
            <v>OKKOSTR</v>
          </cell>
        </row>
        <row r="262">
          <cell r="A262">
            <v>334</v>
          </cell>
          <cell r="D262" t="str">
            <v>True</v>
          </cell>
          <cell r="E262" t="str">
            <v>OKÖBAU</v>
          </cell>
        </row>
        <row r="263">
          <cell r="A263">
            <v>820</v>
          </cell>
          <cell r="D263" t="str">
            <v>True</v>
          </cell>
          <cell r="E263" t="str">
            <v>OKPOLR</v>
          </cell>
        </row>
        <row r="264">
          <cell r="A264">
            <v>368</v>
          </cell>
          <cell r="D264" t="str">
            <v>True</v>
          </cell>
          <cell r="E264" t="str">
            <v>OKRVG</v>
          </cell>
        </row>
        <row r="265">
          <cell r="A265">
            <v>265</v>
          </cell>
          <cell r="D265" t="str">
            <v>True</v>
          </cell>
          <cell r="E265" t="str">
            <v>OKSOZ</v>
          </cell>
        </row>
        <row r="266">
          <cell r="A266">
            <v>262</v>
          </cell>
          <cell r="D266" t="str">
            <v>True</v>
          </cell>
          <cell r="E266" t="str">
            <v>OKSTGB</v>
          </cell>
        </row>
        <row r="267">
          <cell r="A267">
            <v>413</v>
          </cell>
          <cell r="D267" t="str">
            <v>True</v>
          </cell>
          <cell r="E267" t="str">
            <v>OKSTPO</v>
          </cell>
        </row>
        <row r="268">
          <cell r="A268">
            <v>736</v>
          </cell>
          <cell r="D268" t="str">
            <v>True</v>
          </cell>
          <cell r="E268" t="str">
            <v>OKVOLLZ</v>
          </cell>
        </row>
        <row r="269">
          <cell r="A269">
            <v>669</v>
          </cell>
          <cell r="D269" t="str">
            <v>True</v>
          </cell>
          <cell r="E269" t="str">
            <v>OKSTREIT</v>
          </cell>
        </row>
        <row r="270">
          <cell r="A270">
            <v>303</v>
          </cell>
          <cell r="D270" t="str">
            <v>True</v>
          </cell>
          <cell r="E270" t="str">
            <v>OKTVL</v>
          </cell>
        </row>
        <row r="271">
          <cell r="A271">
            <v>266</v>
          </cell>
          <cell r="D271" t="str">
            <v>True</v>
          </cell>
          <cell r="E271" t="str">
            <v>OKTVÖD</v>
          </cell>
        </row>
        <row r="272">
          <cell r="A272">
            <v>267</v>
          </cell>
          <cell r="D272" t="str">
            <v>True</v>
          </cell>
          <cell r="E272" t="str">
            <v>BOKUMW</v>
          </cell>
        </row>
        <row r="273">
          <cell r="A273">
            <v>680</v>
          </cell>
          <cell r="D273" t="str">
            <v>True</v>
          </cell>
          <cell r="E273" t="str">
            <v>OKURHR</v>
          </cell>
        </row>
        <row r="274">
          <cell r="A274">
            <v>268</v>
          </cell>
          <cell r="D274" t="str">
            <v>True</v>
          </cell>
          <cell r="E274" t="str">
            <v>OKVOBB</v>
          </cell>
        </row>
        <row r="275">
          <cell r="A275">
            <v>307</v>
          </cell>
          <cell r="D275" t="str">
            <v>True</v>
          </cell>
          <cell r="E275" t="str">
            <v>OKVWGO</v>
          </cell>
        </row>
        <row r="276">
          <cell r="A276">
            <v>432</v>
          </cell>
          <cell r="D276" t="str">
            <v>True</v>
          </cell>
          <cell r="E276" t="str">
            <v>OKVWVFG</v>
          </cell>
        </row>
        <row r="277">
          <cell r="A277">
            <v>458</v>
          </cell>
          <cell r="D277" t="str">
            <v>True</v>
          </cell>
          <cell r="E277" t="str">
            <v>OKWEG</v>
          </cell>
        </row>
        <row r="278">
          <cell r="A278">
            <v>678</v>
          </cell>
          <cell r="D278" t="str">
            <v>False</v>
          </cell>
          <cell r="E278" t="str">
            <v>BTPREM</v>
          </cell>
        </row>
        <row r="279">
          <cell r="A279">
            <v>27</v>
          </cell>
          <cell r="D279" t="str">
            <v>False</v>
          </cell>
          <cell r="E279" t="str">
            <v>BOT</v>
          </cell>
        </row>
        <row r="280">
          <cell r="A280">
            <v>805</v>
          </cell>
          <cell r="D280" t="str">
            <v>True</v>
          </cell>
          <cell r="E280" t="str">
            <v>AMBSL</v>
          </cell>
        </row>
        <row r="281">
          <cell r="A281">
            <v>1129</v>
          </cell>
          <cell r="D281" t="str">
            <v>False</v>
          </cell>
          <cell r="E281" t="str">
            <v>BOBTRP</v>
          </cell>
        </row>
        <row r="282">
          <cell r="A282">
            <v>59</v>
          </cell>
          <cell r="D282" t="str">
            <v>False</v>
          </cell>
          <cell r="E282" t="str">
            <v>BBP</v>
          </cell>
        </row>
        <row r="283">
          <cell r="A283">
            <v>770</v>
          </cell>
          <cell r="D283" t="str">
            <v>False</v>
          </cell>
          <cell r="E283" t="str">
            <v>BOBRATP</v>
          </cell>
        </row>
        <row r="284">
          <cell r="A284">
            <v>1205</v>
          </cell>
          <cell r="D284" t="str">
            <v>False</v>
          </cell>
          <cell r="E284" t="str">
            <v>BOBRATPREM</v>
          </cell>
        </row>
        <row r="285">
          <cell r="A285">
            <v>565</v>
          </cell>
          <cell r="D285" t="str">
            <v>False</v>
          </cell>
          <cell r="E285" t="str">
            <v>VABWP</v>
          </cell>
        </row>
        <row r="286">
          <cell r="A286">
            <v>603</v>
          </cell>
          <cell r="D286" t="str">
            <v>False</v>
          </cell>
          <cell r="E286" t="str">
            <v>VABWPREM</v>
          </cell>
        </row>
        <row r="287">
          <cell r="A287">
            <v>595</v>
          </cell>
          <cell r="D287" t="str">
            <v>False</v>
          </cell>
          <cell r="E287" t="str">
            <v>BFHRICHTER</v>
          </cell>
        </row>
        <row r="288">
          <cell r="A288">
            <v>212</v>
          </cell>
          <cell r="D288" t="str">
            <v>False</v>
          </cell>
          <cell r="E288" t="str">
            <v>BGHDVD</v>
          </cell>
        </row>
        <row r="289">
          <cell r="A289">
            <v>541</v>
          </cell>
          <cell r="D289" t="str">
            <v>False</v>
          </cell>
          <cell r="E289" t="str">
            <v>BMBIR</v>
          </cell>
        </row>
        <row r="290">
          <cell r="A290">
            <v>339</v>
          </cell>
          <cell r="D290" t="str">
            <v>False</v>
          </cell>
          <cell r="E290" t="str">
            <v>BOBIP</v>
          </cell>
        </row>
        <row r="291">
          <cell r="A291">
            <v>397</v>
          </cell>
          <cell r="D291" t="str">
            <v>False</v>
          </cell>
          <cell r="E291" t="str">
            <v>BOBIPREM</v>
          </cell>
        </row>
        <row r="292">
          <cell r="A292">
            <v>131</v>
          </cell>
          <cell r="D292" t="str">
            <v>True</v>
          </cell>
          <cell r="E292" t="str">
            <v>BKR</v>
          </cell>
        </row>
        <row r="293">
          <cell r="A293">
            <v>72</v>
          </cell>
          <cell r="D293" t="str">
            <v>True</v>
          </cell>
        </row>
        <row r="294">
          <cell r="A294">
            <v>181</v>
          </cell>
          <cell r="D294" t="str">
            <v>True</v>
          </cell>
        </row>
        <row r="295">
          <cell r="A295">
            <v>419</v>
          </cell>
          <cell r="D295" t="str">
            <v>False</v>
          </cell>
          <cell r="E295" t="str">
            <v>BluemichOnline</v>
          </cell>
        </row>
        <row r="296">
          <cell r="A296">
            <v>1408</v>
          </cell>
          <cell r="D296" t="str">
            <v>False</v>
          </cell>
          <cell r="E296" t="str">
            <v>BLALDIR</v>
          </cell>
        </row>
        <row r="297">
          <cell r="A297">
            <v>1437</v>
          </cell>
          <cell r="D297" t="str">
            <v>True</v>
          </cell>
          <cell r="E297" t="str">
            <v>BNTM</v>
          </cell>
        </row>
        <row r="298">
          <cell r="A298">
            <v>759</v>
          </cell>
          <cell r="D298" t="str">
            <v>False</v>
          </cell>
          <cell r="E298" t="str">
            <v>DNBNOT</v>
          </cell>
        </row>
        <row r="299">
          <cell r="A299">
            <v>1248</v>
          </cell>
          <cell r="D299" t="str">
            <v>False</v>
          </cell>
          <cell r="E299" t="str">
            <v>BRURO</v>
          </cell>
        </row>
        <row r="300">
          <cell r="A300">
            <v>1247</v>
          </cell>
          <cell r="D300" t="str">
            <v>False</v>
          </cell>
          <cell r="E300" t="str">
            <v>BTRDIR</v>
          </cell>
        </row>
        <row r="301">
          <cell r="A301">
            <v>375</v>
          </cell>
          <cell r="D301" t="str">
            <v>True</v>
          </cell>
          <cell r="E301" t="str">
            <v>BUDDENDIEK</v>
          </cell>
        </row>
        <row r="302">
          <cell r="A302">
            <v>201</v>
          </cell>
          <cell r="D302" t="str">
            <v>False</v>
          </cell>
          <cell r="E302" t="str">
            <v>BUND1</v>
          </cell>
        </row>
        <row r="303">
          <cell r="A303">
            <v>1291</v>
          </cell>
          <cell r="D303" t="str">
            <v>False</v>
          </cell>
          <cell r="E303" t="str">
            <v>MSBVERFGE</v>
          </cell>
        </row>
        <row r="304">
          <cell r="A304">
            <v>1081</v>
          </cell>
          <cell r="D304" t="str">
            <v>True</v>
          </cell>
          <cell r="E304" t="str">
            <v>CFMUELLER</v>
          </cell>
        </row>
        <row r="305">
          <cell r="A305">
            <v>1135</v>
          </cell>
          <cell r="D305" t="str">
            <v>False</v>
          </cell>
          <cell r="E305" t="str">
            <v>CAUSADIR</v>
          </cell>
        </row>
        <row r="306">
          <cell r="A306">
            <v>907</v>
          </cell>
          <cell r="D306" t="str">
            <v>False</v>
          </cell>
          <cell r="E306" t="str">
            <v>CBP</v>
          </cell>
        </row>
        <row r="307">
          <cell r="A307">
            <v>563</v>
          </cell>
          <cell r="D307" t="str">
            <v>False</v>
          </cell>
          <cell r="E307" t="str">
            <v>CCZDIR</v>
          </cell>
        </row>
        <row r="308">
          <cell r="A308">
            <v>1477</v>
          </cell>
          <cell r="D308" t="str">
            <v>False</v>
          </cell>
          <cell r="E308" t="str">
            <v>NOFOPC1</v>
          </cell>
        </row>
        <row r="309">
          <cell r="A309">
            <v>1323</v>
          </cell>
          <cell r="D309" t="str">
            <v>False</v>
          </cell>
          <cell r="E309" t="str">
            <v>BOCPLOPT</v>
          </cell>
        </row>
        <row r="310">
          <cell r="A310">
            <v>614</v>
          </cell>
          <cell r="D310" t="str">
            <v>False</v>
          </cell>
          <cell r="E310" t="str">
            <v>BOCPLP</v>
          </cell>
        </row>
        <row r="311">
          <cell r="A311">
            <v>1243</v>
          </cell>
          <cell r="D311" t="str">
            <v>False</v>
          </cell>
          <cell r="E311" t="str">
            <v>BOCPLPREM</v>
          </cell>
        </row>
        <row r="312">
          <cell r="A312">
            <v>971</v>
          </cell>
          <cell r="D312" t="str">
            <v>False</v>
          </cell>
          <cell r="E312" t="str">
            <v>SYNCPL</v>
          </cell>
        </row>
        <row r="313">
          <cell r="A313">
            <v>543</v>
          </cell>
          <cell r="D313" t="str">
            <v>True</v>
          </cell>
          <cell r="E313" t="str">
            <v>CONSP</v>
          </cell>
        </row>
        <row r="314">
          <cell r="A314">
            <v>576</v>
          </cell>
          <cell r="D314" t="str">
            <v>False</v>
          </cell>
          <cell r="E314" t="str">
            <v>VACONP</v>
          </cell>
        </row>
        <row r="315">
          <cell r="A315">
            <v>663</v>
          </cell>
          <cell r="D315" t="str">
            <v>False</v>
          </cell>
          <cell r="E315" t="str">
            <v>CONAR</v>
          </cell>
        </row>
        <row r="316">
          <cell r="A316">
            <v>1163</v>
          </cell>
          <cell r="D316" t="str">
            <v>False</v>
          </cell>
          <cell r="E316" t="str">
            <v>BOCOVID19</v>
          </cell>
        </row>
        <row r="317">
          <cell r="A317">
            <v>1166</v>
          </cell>
          <cell r="D317" t="str">
            <v>False</v>
          </cell>
          <cell r="E317" t="str">
            <v>COVURDIR</v>
          </cell>
        </row>
        <row r="318">
          <cell r="A318">
            <v>1114</v>
          </cell>
          <cell r="D318" t="str">
            <v>False</v>
          </cell>
          <cell r="E318" t="str">
            <v>CREIKOM</v>
          </cell>
        </row>
        <row r="319">
          <cell r="A319">
            <v>1107</v>
          </cell>
          <cell r="D319" t="str">
            <v>False</v>
          </cell>
          <cell r="E319" t="str">
            <v>CREI23</v>
          </cell>
        </row>
        <row r="320">
          <cell r="A320">
            <v>560</v>
          </cell>
          <cell r="D320" t="str">
            <v>False</v>
          </cell>
          <cell r="E320" t="str">
            <v>DARP</v>
          </cell>
        </row>
        <row r="321">
          <cell r="A321">
            <v>671</v>
          </cell>
          <cell r="D321" t="str">
            <v>False</v>
          </cell>
          <cell r="E321" t="str">
            <v>BODSP</v>
          </cell>
        </row>
        <row r="322">
          <cell r="A322">
            <v>996</v>
          </cell>
          <cell r="D322" t="str">
            <v>False</v>
          </cell>
          <cell r="E322" t="str">
            <v>BODSPREM</v>
          </cell>
        </row>
        <row r="323">
          <cell r="A323">
            <v>973</v>
          </cell>
          <cell r="D323" t="str">
            <v>False</v>
          </cell>
          <cell r="E323" t="str">
            <v>SYNDS</v>
          </cell>
        </row>
        <row r="324">
          <cell r="A324">
            <v>1354</v>
          </cell>
          <cell r="D324" t="str">
            <v>False</v>
          </cell>
          <cell r="E324" t="str">
            <v>BODWRP</v>
          </cell>
        </row>
        <row r="325">
          <cell r="A325">
            <v>1383</v>
          </cell>
          <cell r="D325" t="str">
            <v>False</v>
          </cell>
          <cell r="E325" t="str">
            <v>DAVAWR</v>
          </cell>
        </row>
        <row r="326">
          <cell r="A326">
            <v>1384</v>
          </cell>
          <cell r="D326" t="str">
            <v>False</v>
          </cell>
          <cell r="E326" t="str">
            <v>DAVARB</v>
          </cell>
        </row>
        <row r="327">
          <cell r="A327">
            <v>1385</v>
          </cell>
          <cell r="D327" t="str">
            <v>False</v>
          </cell>
          <cell r="E327" t="str">
            <v>DAVBAU</v>
          </cell>
        </row>
        <row r="328">
          <cell r="A328">
            <v>1386</v>
          </cell>
          <cell r="D328" t="str">
            <v>False</v>
          </cell>
          <cell r="E328" t="str">
            <v>DAVFAMERB</v>
          </cell>
        </row>
        <row r="329">
          <cell r="A329">
            <v>1387</v>
          </cell>
          <cell r="D329" t="str">
            <v>False</v>
          </cell>
          <cell r="E329" t="str">
            <v>DAVHGR</v>
          </cell>
        </row>
        <row r="330">
          <cell r="A330">
            <v>1388</v>
          </cell>
          <cell r="D330" t="str">
            <v>False</v>
          </cell>
          <cell r="E330" t="str">
            <v>DAVMW</v>
          </cell>
        </row>
        <row r="331">
          <cell r="A331">
            <v>1389</v>
          </cell>
          <cell r="D331" t="str">
            <v>False</v>
          </cell>
          <cell r="E331" t="str">
            <v>DAVSOZ</v>
          </cell>
        </row>
        <row r="332">
          <cell r="A332">
            <v>1391</v>
          </cell>
          <cell r="D332" t="str">
            <v>False</v>
          </cell>
          <cell r="E332" t="str">
            <v>DAVST</v>
          </cell>
        </row>
        <row r="333">
          <cell r="A333">
            <v>1390</v>
          </cell>
          <cell r="D333" t="str">
            <v>False</v>
          </cell>
          <cell r="E333" t="str">
            <v>DAVSTV</v>
          </cell>
        </row>
        <row r="334">
          <cell r="A334">
            <v>1392</v>
          </cell>
          <cell r="D334" t="str">
            <v>False</v>
          </cell>
          <cell r="E334" t="str">
            <v>DAVVW</v>
          </cell>
        </row>
        <row r="335">
          <cell r="A335">
            <v>1382</v>
          </cell>
          <cell r="D335" t="str">
            <v>False</v>
          </cell>
          <cell r="E335" t="str">
            <v>DAVPREM</v>
          </cell>
        </row>
        <row r="336">
          <cell r="A336">
            <v>238</v>
          </cell>
          <cell r="D336" t="str">
            <v>False</v>
          </cell>
          <cell r="E336" t="str">
            <v>DNOTDVD</v>
          </cell>
        </row>
        <row r="337">
          <cell r="A337">
            <v>1203</v>
          </cell>
          <cell r="D337" t="str">
            <v>True</v>
          </cell>
          <cell r="E337" t="str">
            <v>DAV</v>
          </cell>
        </row>
        <row r="338">
          <cell r="A338">
            <v>1131</v>
          </cell>
          <cell r="D338" t="str">
            <v>True</v>
          </cell>
          <cell r="E338" t="str">
            <v>DFVMG</v>
          </cell>
        </row>
        <row r="339">
          <cell r="A339">
            <v>994</v>
          </cell>
          <cell r="D339" t="str">
            <v>False</v>
          </cell>
          <cell r="E339" t="str">
            <v>DGVZDIR</v>
          </cell>
        </row>
        <row r="340">
          <cell r="A340">
            <v>356</v>
          </cell>
          <cell r="D340" t="str">
            <v>False</v>
          </cell>
          <cell r="E340" t="str">
            <v>DOEVP</v>
          </cell>
        </row>
        <row r="341">
          <cell r="A341">
            <v>607</v>
          </cell>
          <cell r="D341" t="str">
            <v>True</v>
          </cell>
          <cell r="E341" t="str">
            <v>DL JUNG</v>
          </cell>
        </row>
        <row r="342">
          <cell r="A342">
            <v>1470</v>
          </cell>
          <cell r="D342" t="str">
            <v>False</v>
          </cell>
          <cell r="E342" t="str">
            <v>BOPHRPREDLI</v>
          </cell>
        </row>
        <row r="343">
          <cell r="A343">
            <v>54</v>
          </cell>
          <cell r="D343" t="str">
            <v>False</v>
          </cell>
          <cell r="E343" t="str">
            <v>DNOTZP</v>
          </cell>
        </row>
        <row r="344">
          <cell r="A344">
            <v>1180</v>
          </cell>
          <cell r="D344" t="str">
            <v>False</v>
          </cell>
          <cell r="E344" t="str">
            <v>DNOTZDIR</v>
          </cell>
        </row>
        <row r="345">
          <cell r="A345">
            <v>978</v>
          </cell>
          <cell r="D345" t="str">
            <v>False</v>
          </cell>
          <cell r="E345" t="str">
            <v>NOKOGST4</v>
          </cell>
        </row>
        <row r="346">
          <cell r="A346">
            <v>1185</v>
          </cell>
          <cell r="D346" t="str">
            <v>False</v>
          </cell>
          <cell r="E346" t="str">
            <v>NOKOGST5</v>
          </cell>
        </row>
        <row r="347">
          <cell r="A347">
            <v>738</v>
          </cell>
          <cell r="D347" t="str">
            <v>False</v>
          </cell>
          <cell r="E347" t="str">
            <v>NOKOGST3</v>
          </cell>
        </row>
        <row r="348">
          <cell r="A348">
            <v>1008</v>
          </cell>
          <cell r="D348" t="str">
            <v>False</v>
          </cell>
          <cell r="E348" t="str">
            <v>NOFOBV3</v>
          </cell>
        </row>
        <row r="349">
          <cell r="A349">
            <v>1281</v>
          </cell>
          <cell r="D349" t="str">
            <v>False</v>
          </cell>
          <cell r="E349" t="str">
            <v>NOFOBV4</v>
          </cell>
        </row>
        <row r="350">
          <cell r="A350">
            <v>814</v>
          </cell>
          <cell r="D350" t="str">
            <v>True</v>
          </cell>
          <cell r="E350" t="str">
            <v>DRIZAPP</v>
          </cell>
        </row>
        <row r="351">
          <cell r="A351">
            <v>804</v>
          </cell>
          <cell r="D351" t="str">
            <v>False</v>
          </cell>
          <cell r="E351" t="str">
            <v>DRIZDIR</v>
          </cell>
        </row>
        <row r="352">
          <cell r="A352">
            <v>137</v>
          </cell>
          <cell r="D352" t="str">
            <v>True</v>
          </cell>
        </row>
        <row r="353">
          <cell r="A353">
            <v>778</v>
          </cell>
          <cell r="D353" t="str">
            <v>False</v>
          </cell>
          <cell r="E353" t="str">
            <v>SVDIR</v>
          </cell>
        </row>
        <row r="354">
          <cell r="A354">
            <v>25</v>
          </cell>
          <cell r="D354" t="str">
            <v>False</v>
          </cell>
          <cell r="E354" t="str">
            <v>DSTRP</v>
          </cell>
        </row>
        <row r="355">
          <cell r="A355">
            <v>237</v>
          </cell>
          <cell r="D355" t="str">
            <v>False</v>
          </cell>
          <cell r="E355" t="str">
            <v>FDSTR</v>
          </cell>
        </row>
        <row r="356">
          <cell r="A356">
            <v>1374</v>
          </cell>
          <cell r="D356" t="str">
            <v>True</v>
          </cell>
          <cell r="E356" t="str">
            <v>DSTRAPP</v>
          </cell>
        </row>
        <row r="357">
          <cell r="A357">
            <v>610</v>
          </cell>
          <cell r="D357" t="str">
            <v>False</v>
          </cell>
          <cell r="E357" t="str">
            <v>DUERDIR</v>
          </cell>
        </row>
        <row r="358">
          <cell r="A358">
            <v>634</v>
          </cell>
          <cell r="D358" t="str">
            <v>False</v>
          </cell>
          <cell r="E358" t="str">
            <v>DUER115</v>
          </cell>
        </row>
        <row r="359">
          <cell r="A359">
            <v>637</v>
          </cell>
          <cell r="D359" t="str">
            <v>False</v>
          </cell>
          <cell r="E359" t="str">
            <v>DUER116</v>
          </cell>
        </row>
        <row r="360">
          <cell r="A360">
            <v>638</v>
          </cell>
          <cell r="D360" t="str">
            <v>False</v>
          </cell>
          <cell r="E360" t="str">
            <v>DUER117</v>
          </cell>
        </row>
        <row r="361">
          <cell r="A361">
            <v>694</v>
          </cell>
          <cell r="D361" t="str">
            <v>False</v>
          </cell>
          <cell r="E361" t="str">
            <v>DUER118</v>
          </cell>
        </row>
        <row r="362">
          <cell r="A362">
            <v>695</v>
          </cell>
          <cell r="D362" t="str">
            <v>False</v>
          </cell>
          <cell r="E362" t="str">
            <v>DUER119</v>
          </cell>
        </row>
        <row r="363">
          <cell r="A363">
            <v>696</v>
          </cell>
          <cell r="D363" t="str">
            <v>False</v>
          </cell>
          <cell r="E363" t="str">
            <v>DUER120</v>
          </cell>
        </row>
        <row r="364">
          <cell r="A364">
            <v>697</v>
          </cell>
          <cell r="D364" t="str">
            <v>False</v>
          </cell>
          <cell r="E364" t="str">
            <v>DUER121</v>
          </cell>
        </row>
        <row r="365">
          <cell r="A365">
            <v>781</v>
          </cell>
          <cell r="D365" t="str">
            <v>False</v>
          </cell>
          <cell r="E365" t="str">
            <v>DUER122</v>
          </cell>
        </row>
        <row r="366">
          <cell r="A366">
            <v>782</v>
          </cell>
          <cell r="D366" t="str">
            <v>False</v>
          </cell>
          <cell r="E366" t="str">
            <v>DUER123</v>
          </cell>
        </row>
        <row r="367">
          <cell r="A367">
            <v>783</v>
          </cell>
          <cell r="D367" t="str">
            <v>False</v>
          </cell>
          <cell r="E367" t="str">
            <v>DUER124</v>
          </cell>
        </row>
        <row r="368">
          <cell r="A368">
            <v>833</v>
          </cell>
          <cell r="D368" t="str">
            <v>False</v>
          </cell>
          <cell r="E368" t="str">
            <v>DUER125</v>
          </cell>
        </row>
        <row r="369">
          <cell r="A369">
            <v>834</v>
          </cell>
          <cell r="D369" t="str">
            <v>False</v>
          </cell>
          <cell r="E369" t="str">
            <v>DUER126</v>
          </cell>
        </row>
        <row r="370">
          <cell r="A370">
            <v>835</v>
          </cell>
          <cell r="D370" t="str">
            <v>False</v>
          </cell>
          <cell r="E370" t="str">
            <v>DUER127</v>
          </cell>
        </row>
        <row r="371">
          <cell r="A371">
            <v>836</v>
          </cell>
          <cell r="D371" t="str">
            <v>False</v>
          </cell>
          <cell r="E371" t="str">
            <v>DUER128</v>
          </cell>
        </row>
        <row r="372">
          <cell r="A372">
            <v>598</v>
          </cell>
          <cell r="D372" t="str">
            <v>False</v>
          </cell>
          <cell r="E372" t="str">
            <v>DVEVBM</v>
          </cell>
        </row>
        <row r="373">
          <cell r="A373">
            <v>788</v>
          </cell>
          <cell r="D373" t="str">
            <v>False</v>
          </cell>
          <cell r="E373" t="str">
            <v>DVEVIERB</v>
          </cell>
        </row>
        <row r="374">
          <cell r="A374">
            <v>605</v>
          </cell>
          <cell r="D374" t="str">
            <v>False</v>
          </cell>
          <cell r="E374" t="str">
            <v>DVEVFAM</v>
          </cell>
        </row>
        <row r="375">
          <cell r="A375">
            <v>602</v>
          </cell>
          <cell r="D375" t="str">
            <v>False</v>
          </cell>
          <cell r="E375" t="str">
            <v>DVEVSTAUD</v>
          </cell>
        </row>
        <row r="376">
          <cell r="A376">
            <v>599</v>
          </cell>
          <cell r="D376" t="str">
            <v>False</v>
          </cell>
          <cell r="E376" t="str">
            <v>DVEVSTR</v>
          </cell>
        </row>
        <row r="377">
          <cell r="A377">
            <v>968</v>
          </cell>
          <cell r="D377" t="str">
            <v>False</v>
          </cell>
          <cell r="E377" t="str">
            <v>DVEVPREM</v>
          </cell>
        </row>
        <row r="378">
          <cell r="A378">
            <v>53</v>
          </cell>
          <cell r="D378" t="str">
            <v>True</v>
          </cell>
        </row>
        <row r="379">
          <cell r="A379">
            <v>580</v>
          </cell>
          <cell r="D379" t="str">
            <v>True</v>
          </cell>
          <cell r="E379" t="str">
            <v>ECKEBRECHT-FAMG</v>
          </cell>
        </row>
        <row r="380">
          <cell r="A380">
            <v>1259</v>
          </cell>
          <cell r="D380" t="str">
            <v>False</v>
          </cell>
          <cell r="E380" t="str">
            <v>NOFOVW3</v>
          </cell>
        </row>
        <row r="381">
          <cell r="A381">
            <v>436</v>
          </cell>
          <cell r="D381" t="str">
            <v>False</v>
          </cell>
          <cell r="E381" t="str">
            <v>ELSTRA</v>
          </cell>
        </row>
        <row r="382">
          <cell r="A382">
            <v>662</v>
          </cell>
          <cell r="D382" t="str">
            <v>False</v>
          </cell>
          <cell r="E382" t="str">
            <v>ELAGES</v>
          </cell>
        </row>
        <row r="383">
          <cell r="A383">
            <v>735</v>
          </cell>
          <cell r="D383" t="str">
            <v>False</v>
          </cell>
          <cell r="E383" t="str">
            <v>ELAGWK</v>
          </cell>
        </row>
        <row r="384">
          <cell r="A384">
            <v>707</v>
          </cell>
          <cell r="D384" t="str">
            <v>False</v>
          </cell>
          <cell r="E384" t="str">
            <v>ELAKST</v>
          </cell>
        </row>
        <row r="385">
          <cell r="A385">
            <v>705</v>
          </cell>
          <cell r="D385" t="str">
            <v>False</v>
          </cell>
          <cell r="E385" t="str">
            <v>ELAEST</v>
          </cell>
        </row>
        <row r="386">
          <cell r="A386">
            <v>706</v>
          </cell>
          <cell r="D386" t="str">
            <v>False</v>
          </cell>
          <cell r="E386" t="str">
            <v>ELAUST</v>
          </cell>
        </row>
        <row r="387">
          <cell r="A387">
            <v>709</v>
          </cell>
          <cell r="D387" t="str">
            <v>False</v>
          </cell>
          <cell r="E387" t="str">
            <v>ELAVFR</v>
          </cell>
        </row>
        <row r="388">
          <cell r="A388">
            <v>448</v>
          </cell>
          <cell r="D388" t="str">
            <v>False</v>
          </cell>
          <cell r="E388" t="str">
            <v>ELSTRF</v>
          </cell>
        </row>
        <row r="389">
          <cell r="A389">
            <v>812</v>
          </cell>
          <cell r="D389" t="str">
            <v>False</v>
          </cell>
          <cell r="E389" t="str">
            <v>ELFBIL</v>
          </cell>
        </row>
        <row r="390">
          <cell r="A390">
            <v>895</v>
          </cell>
          <cell r="D390" t="str">
            <v>False</v>
          </cell>
          <cell r="E390" t="str">
            <v>ELFBIL2</v>
          </cell>
        </row>
        <row r="391">
          <cell r="A391">
            <v>710</v>
          </cell>
          <cell r="D391" t="str">
            <v>False</v>
          </cell>
          <cell r="E391" t="str">
            <v>ELFKONZ</v>
          </cell>
        </row>
        <row r="392">
          <cell r="A392">
            <v>762</v>
          </cell>
          <cell r="D392" t="str">
            <v>False</v>
          </cell>
          <cell r="E392" t="str">
            <v>ELFUM</v>
          </cell>
        </row>
        <row r="393">
          <cell r="A393">
            <v>588</v>
          </cell>
          <cell r="D393" t="str">
            <v>False</v>
          </cell>
          <cell r="E393" t="str">
            <v>ELSTTS</v>
          </cell>
        </row>
        <row r="394">
          <cell r="A394">
            <v>559</v>
          </cell>
          <cell r="D394" t="str">
            <v>False</v>
          </cell>
          <cell r="E394" t="str">
            <v>GEVSBLN</v>
          </cell>
        </row>
        <row r="395">
          <cell r="A395">
            <v>567</v>
          </cell>
          <cell r="D395" t="str">
            <v>False</v>
          </cell>
          <cell r="E395" t="str">
            <v>EVISBLN</v>
          </cell>
        </row>
        <row r="396">
          <cell r="A396">
            <v>1029</v>
          </cell>
          <cell r="D396" t="str">
            <v>False</v>
          </cell>
          <cell r="E396" t="str">
            <v>NOFOWEG3</v>
          </cell>
        </row>
        <row r="397">
          <cell r="A397">
            <v>1307</v>
          </cell>
          <cell r="D397" t="str">
            <v>False</v>
          </cell>
          <cell r="E397" t="str">
            <v>NOFOWEG4</v>
          </cell>
        </row>
        <row r="398">
          <cell r="A398">
            <v>683</v>
          </cell>
          <cell r="D398" t="str">
            <v>False</v>
          </cell>
          <cell r="E398" t="str">
            <v>BOENP</v>
          </cell>
        </row>
        <row r="399">
          <cell r="A399">
            <v>1112</v>
          </cell>
          <cell r="D399" t="str">
            <v>False</v>
          </cell>
          <cell r="E399" t="str">
            <v>BOENPREM</v>
          </cell>
        </row>
        <row r="400">
          <cell r="A400">
            <v>961</v>
          </cell>
          <cell r="D400" t="str">
            <v>False</v>
          </cell>
          <cell r="E400" t="str">
            <v>FORMUW4</v>
          </cell>
        </row>
        <row r="401">
          <cell r="A401">
            <v>1133</v>
          </cell>
          <cell r="D401" t="str">
            <v>False</v>
          </cell>
          <cell r="E401" t="str">
            <v>FORMUW5</v>
          </cell>
        </row>
        <row r="402">
          <cell r="A402">
            <v>1331</v>
          </cell>
          <cell r="D402" t="str">
            <v>False</v>
          </cell>
          <cell r="E402" t="str">
            <v>FORMUW6</v>
          </cell>
        </row>
        <row r="403">
          <cell r="A403">
            <v>1132</v>
          </cell>
          <cell r="D403" t="str">
            <v>False</v>
          </cell>
          <cell r="E403" t="str">
            <v>ERBZDIR</v>
          </cell>
        </row>
        <row r="404">
          <cell r="A404">
            <v>1085</v>
          </cell>
          <cell r="D404" t="str">
            <v>False</v>
          </cell>
          <cell r="E404" t="str">
            <v>ERBRDIR</v>
          </cell>
        </row>
        <row r="405">
          <cell r="A405">
            <v>1361</v>
          </cell>
          <cell r="D405" t="str">
            <v>False</v>
          </cell>
          <cell r="E405" t="str">
            <v>BOERBOPT</v>
          </cell>
        </row>
        <row r="406">
          <cell r="A406">
            <v>95</v>
          </cell>
          <cell r="D406" t="str">
            <v>False</v>
          </cell>
          <cell r="E406" t="str">
            <v>BOERBP</v>
          </cell>
        </row>
        <row r="407">
          <cell r="A407">
            <v>572</v>
          </cell>
          <cell r="D407" t="str">
            <v>False</v>
          </cell>
          <cell r="E407" t="str">
            <v>BOERBPREM</v>
          </cell>
        </row>
        <row r="408">
          <cell r="A408">
            <v>676</v>
          </cell>
          <cell r="D408" t="str">
            <v>False</v>
          </cell>
          <cell r="E408" t="str">
            <v>IERB</v>
          </cell>
        </row>
        <row r="409">
          <cell r="A409">
            <v>374</v>
          </cell>
          <cell r="D409" t="str">
            <v>True</v>
          </cell>
          <cell r="E409" t="str">
            <v>ERBSKOHLHAAS (AUTOR)</v>
          </cell>
        </row>
        <row r="410">
          <cell r="A410">
            <v>39</v>
          </cell>
          <cell r="D410" t="str">
            <v>True</v>
          </cell>
          <cell r="E410" t="str">
            <v>ERFKAUTOR</v>
          </cell>
        </row>
        <row r="411">
          <cell r="A411">
            <v>240</v>
          </cell>
          <cell r="D411" t="str">
            <v>True</v>
          </cell>
          <cell r="E411" t="str">
            <v>KOEKP</v>
          </cell>
        </row>
        <row r="412">
          <cell r="A412">
            <v>1272</v>
          </cell>
          <cell r="D412" t="str">
            <v>False</v>
          </cell>
          <cell r="E412" t="str">
            <v>ESGP</v>
          </cell>
        </row>
        <row r="413">
          <cell r="A413">
            <v>1250</v>
          </cell>
          <cell r="D413" t="str">
            <v>False</v>
          </cell>
          <cell r="E413" t="str">
            <v>ESGDIR</v>
          </cell>
        </row>
        <row r="414">
          <cell r="A414">
            <v>1429</v>
          </cell>
          <cell r="D414" t="str">
            <v>False</v>
          </cell>
          <cell r="E414" t="str">
            <v>EUDIRDIR</v>
          </cell>
        </row>
        <row r="415">
          <cell r="A415">
            <v>1025</v>
          </cell>
          <cell r="D415" t="str">
            <v>False</v>
          </cell>
          <cell r="E415" t="str">
            <v>EURDIR</v>
          </cell>
        </row>
        <row r="416">
          <cell r="A416">
            <v>571</v>
          </cell>
          <cell r="D416" t="str">
            <v>False</v>
          </cell>
          <cell r="E416" t="str">
            <v>BOEUHERP</v>
          </cell>
        </row>
        <row r="417">
          <cell r="A417">
            <v>219</v>
          </cell>
          <cell r="D417" t="str">
            <v>False</v>
          </cell>
          <cell r="E417" t="str">
            <v>BOEUROP</v>
          </cell>
        </row>
        <row r="418">
          <cell r="A418">
            <v>1098</v>
          </cell>
          <cell r="D418" t="str">
            <v>False</v>
          </cell>
          <cell r="E418" t="str">
            <v>BOEUROPREM</v>
          </cell>
        </row>
        <row r="419">
          <cell r="A419">
            <v>941</v>
          </cell>
          <cell r="D419" t="str">
            <v>False</v>
          </cell>
          <cell r="E419" t="str">
            <v>EUZAP</v>
          </cell>
        </row>
        <row r="420">
          <cell r="A420">
            <v>22</v>
          </cell>
          <cell r="D420" t="str">
            <v>False</v>
          </cell>
          <cell r="E420" t="str">
            <v>EUZWP</v>
          </cell>
        </row>
        <row r="421">
          <cell r="A421">
            <v>1195</v>
          </cell>
          <cell r="D421" t="str">
            <v>False</v>
          </cell>
          <cell r="E421" t="str">
            <v>EUZWDIR</v>
          </cell>
        </row>
        <row r="422">
          <cell r="A422">
            <v>915</v>
          </cell>
          <cell r="D422" t="str">
            <v>False</v>
          </cell>
          <cell r="E422" t="str">
            <v>EWERKDIR</v>
          </cell>
        </row>
        <row r="423">
          <cell r="A423">
            <v>883</v>
          </cell>
          <cell r="D423" t="str">
            <v>False</v>
          </cell>
          <cell r="E423" t="str">
            <v>EWSP</v>
          </cell>
        </row>
        <row r="424">
          <cell r="A424">
            <v>478</v>
          </cell>
          <cell r="D424" t="str">
            <v>False</v>
          </cell>
          <cell r="E424" t="str">
            <v>FAMFRO</v>
          </cell>
        </row>
        <row r="425">
          <cell r="A425">
            <v>275</v>
          </cell>
          <cell r="D425" t="str">
            <v>False</v>
          </cell>
          <cell r="E425" t="str">
            <v>AWFAMERB</v>
          </cell>
        </row>
        <row r="426">
          <cell r="A426">
            <v>655</v>
          </cell>
          <cell r="D426" t="str">
            <v>False</v>
          </cell>
          <cell r="E426" t="str">
            <v>FJAFAMERB</v>
          </cell>
        </row>
        <row r="427">
          <cell r="A427">
            <v>898</v>
          </cell>
          <cell r="D427" t="str">
            <v>False</v>
          </cell>
          <cell r="E427" t="str">
            <v>LHFAM</v>
          </cell>
        </row>
        <row r="428">
          <cell r="A428">
            <v>1136</v>
          </cell>
          <cell r="D428" t="str">
            <v>False</v>
          </cell>
          <cell r="E428" t="str">
            <v>BOFAMOPT</v>
          </cell>
        </row>
        <row r="429">
          <cell r="A429">
            <v>51</v>
          </cell>
          <cell r="D429" t="str">
            <v>False</v>
          </cell>
          <cell r="E429" t="str">
            <v>BOFAMP</v>
          </cell>
        </row>
        <row r="430">
          <cell r="A430">
            <v>1148</v>
          </cell>
          <cell r="D430" t="str">
            <v>False</v>
          </cell>
          <cell r="E430" t="str">
            <v>BOFAMPRN</v>
          </cell>
        </row>
        <row r="431">
          <cell r="A431">
            <v>517</v>
          </cell>
          <cell r="D431" t="str">
            <v>False</v>
          </cell>
          <cell r="E431" t="str">
            <v>BOFAMPREM</v>
          </cell>
        </row>
        <row r="432">
          <cell r="A432">
            <v>621</v>
          </cell>
          <cell r="D432" t="str">
            <v>False</v>
          </cell>
          <cell r="E432" t="str">
            <v>IFAM</v>
          </cell>
        </row>
        <row r="433">
          <cell r="A433">
            <v>1168</v>
          </cell>
          <cell r="D433" t="str">
            <v>False</v>
          </cell>
          <cell r="E433" t="str">
            <v>IFAMJA</v>
          </cell>
        </row>
        <row r="434">
          <cell r="A434">
            <v>1167</v>
          </cell>
          <cell r="D434" t="str">
            <v>False</v>
          </cell>
          <cell r="E434" t="str">
            <v>IFAMSGBII</v>
          </cell>
        </row>
        <row r="435">
          <cell r="A435">
            <v>1005</v>
          </cell>
          <cell r="D435" t="str">
            <v>False</v>
          </cell>
          <cell r="E435" t="str">
            <v>FNOHB</v>
          </cell>
        </row>
        <row r="436">
          <cell r="A436">
            <v>593</v>
          </cell>
          <cell r="D436" t="str">
            <v>False</v>
          </cell>
          <cell r="E436" t="str">
            <v>NOKOHSRB</v>
          </cell>
        </row>
        <row r="437">
          <cell r="A437">
            <v>668</v>
          </cell>
          <cell r="D437" t="str">
            <v>False</v>
          </cell>
          <cell r="E437" t="str">
            <v>NOKOHSRB4</v>
          </cell>
        </row>
        <row r="438">
          <cell r="A438">
            <v>816</v>
          </cell>
          <cell r="D438" t="str">
            <v>True</v>
          </cell>
          <cell r="E438" t="str">
            <v>FBZPAUTOR</v>
          </cell>
        </row>
        <row r="439">
          <cell r="A439">
            <v>1224</v>
          </cell>
          <cell r="D439" t="str">
            <v>False</v>
          </cell>
          <cell r="E439" t="str">
            <v>BOFWP</v>
          </cell>
        </row>
        <row r="440">
          <cell r="A440">
            <v>468</v>
          </cell>
          <cell r="D440" t="str">
            <v>True</v>
          </cell>
          <cell r="E440" t="str">
            <v>FEZMRCDA</v>
          </cell>
        </row>
        <row r="441">
          <cell r="A441">
            <v>159</v>
          </cell>
          <cell r="D441" t="str">
            <v>True</v>
          </cell>
        </row>
        <row r="442">
          <cell r="A442">
            <v>546</v>
          </cell>
          <cell r="D442" t="str">
            <v>False</v>
          </cell>
          <cell r="E442" t="str">
            <v>FINABU</v>
          </cell>
        </row>
        <row r="443">
          <cell r="A443">
            <v>548</v>
          </cell>
          <cell r="D443" t="str">
            <v>False</v>
          </cell>
          <cell r="E443" t="str">
            <v>FINAUN1</v>
          </cell>
        </row>
        <row r="444">
          <cell r="A444">
            <v>549</v>
          </cell>
          <cell r="D444" t="str">
            <v>False</v>
          </cell>
          <cell r="E444" t="str">
            <v>FINAUN2</v>
          </cell>
        </row>
        <row r="445">
          <cell r="A445">
            <v>544</v>
          </cell>
          <cell r="D445" t="str">
            <v>False</v>
          </cell>
          <cell r="E445" t="str">
            <v>FINGM</v>
          </cell>
        </row>
        <row r="446">
          <cell r="A446">
            <v>551</v>
          </cell>
          <cell r="D446" t="str">
            <v>False</v>
          </cell>
          <cell r="E446" t="str">
            <v>FINBI</v>
          </cell>
        </row>
        <row r="447">
          <cell r="A447">
            <v>547</v>
          </cell>
          <cell r="D447" t="str">
            <v>False</v>
          </cell>
          <cell r="E447" t="str">
            <v>FINERB</v>
          </cell>
        </row>
        <row r="448">
          <cell r="A448">
            <v>552</v>
          </cell>
          <cell r="D448" t="str">
            <v>False</v>
          </cell>
          <cell r="E448" t="str">
            <v>FINISTR</v>
          </cell>
        </row>
        <row r="449">
          <cell r="A449">
            <v>550</v>
          </cell>
          <cell r="D449" t="str">
            <v>False</v>
          </cell>
          <cell r="E449" t="str">
            <v>FINVOLL</v>
          </cell>
        </row>
        <row r="450">
          <cell r="A450">
            <v>1461</v>
          </cell>
          <cell r="D450" t="str">
            <v>True</v>
          </cell>
          <cell r="E450" t="str">
            <v>FSCHR-AUTOR</v>
          </cell>
        </row>
        <row r="451">
          <cell r="A451">
            <v>1453</v>
          </cell>
          <cell r="D451" t="str">
            <v>True</v>
          </cell>
          <cell r="E451" t="str">
            <v>FITTING-AUTOR</v>
          </cell>
        </row>
        <row r="452">
          <cell r="A452">
            <v>1454</v>
          </cell>
          <cell r="D452" t="str">
            <v>False</v>
          </cell>
          <cell r="E452" t="str">
            <v>KOFITTBETRVG32</v>
          </cell>
        </row>
        <row r="453">
          <cell r="A453">
            <v>1215</v>
          </cell>
          <cell r="D453" t="str">
            <v>False</v>
          </cell>
          <cell r="E453" t="str">
            <v>FORMRS10</v>
          </cell>
        </row>
        <row r="454">
          <cell r="A454">
            <v>1395</v>
          </cell>
          <cell r="D454" t="str">
            <v>False</v>
          </cell>
          <cell r="E454" t="str">
            <v>FORMRS11</v>
          </cell>
        </row>
        <row r="455">
          <cell r="A455">
            <v>590</v>
          </cell>
          <cell r="D455" t="str">
            <v>False</v>
          </cell>
          <cell r="E455" t="str">
            <v>FORMRSBUCH</v>
          </cell>
        </row>
        <row r="456">
          <cell r="A456">
            <v>807</v>
          </cell>
          <cell r="D456" t="str">
            <v>False</v>
          </cell>
          <cell r="E456" t="str">
            <v>FORMRS8</v>
          </cell>
        </row>
        <row r="457">
          <cell r="A457">
            <v>1014</v>
          </cell>
          <cell r="D457" t="str">
            <v>False</v>
          </cell>
          <cell r="E457" t="str">
            <v>FORMRS9</v>
          </cell>
        </row>
        <row r="458">
          <cell r="A458">
            <v>813</v>
          </cell>
          <cell r="D458" t="str">
            <v>False</v>
          </cell>
          <cell r="E458" t="str">
            <v>FORMDS1</v>
          </cell>
        </row>
        <row r="459">
          <cell r="A459">
            <v>1034</v>
          </cell>
          <cell r="D459" t="str">
            <v>False</v>
          </cell>
          <cell r="E459" t="str">
            <v>FORMDS2</v>
          </cell>
        </row>
        <row r="460">
          <cell r="A460">
            <v>1225</v>
          </cell>
          <cell r="D460" t="str">
            <v>False</v>
          </cell>
          <cell r="E460" t="str">
            <v>FORMDS3</v>
          </cell>
        </row>
        <row r="461">
          <cell r="A461">
            <v>1436</v>
          </cell>
          <cell r="D461" t="str">
            <v>False</v>
          </cell>
          <cell r="E461" t="str">
            <v>FORMDS4</v>
          </cell>
        </row>
        <row r="462">
          <cell r="A462">
            <v>96</v>
          </cell>
          <cell r="D462" t="str">
            <v>False</v>
          </cell>
          <cell r="E462" t="str">
            <v>FOR96</v>
          </cell>
        </row>
        <row r="463">
          <cell r="A463">
            <v>639</v>
          </cell>
          <cell r="D463" t="str">
            <v>False</v>
          </cell>
          <cell r="E463" t="str">
            <v>FJAP</v>
          </cell>
        </row>
        <row r="464">
          <cell r="A464">
            <v>641</v>
          </cell>
          <cell r="D464" t="str">
            <v>False</v>
          </cell>
          <cell r="E464" t="str">
            <v>FJAZIV</v>
          </cell>
        </row>
        <row r="465">
          <cell r="A465">
            <v>189</v>
          </cell>
          <cell r="D465" t="str">
            <v>False</v>
          </cell>
          <cell r="E465" t="str">
            <v>FPRP</v>
          </cell>
        </row>
        <row r="466">
          <cell r="A466">
            <v>1456</v>
          </cell>
          <cell r="D466" t="str">
            <v>True</v>
          </cell>
          <cell r="E466" t="str">
            <v>KOBEBIKO15</v>
          </cell>
        </row>
        <row r="467">
          <cell r="A467">
            <v>1457</v>
          </cell>
          <cell r="D467" t="str">
            <v>False</v>
          </cell>
          <cell r="E467" t="str">
            <v>KOFSCHRSTGB73</v>
          </cell>
        </row>
        <row r="468">
          <cell r="A468">
            <v>1463</v>
          </cell>
          <cell r="D468" t="str">
            <v>True</v>
          </cell>
          <cell r="E468" t="str">
            <v>FITTINGKOBETRVG32</v>
          </cell>
        </row>
        <row r="469">
          <cell r="A469">
            <v>1481</v>
          </cell>
          <cell r="D469" t="str">
            <v>True</v>
          </cell>
          <cell r="E469" t="str">
            <v>KOFITTING33</v>
          </cell>
        </row>
        <row r="470">
          <cell r="A470">
            <v>1459</v>
          </cell>
          <cell r="D470" t="str">
            <v>False</v>
          </cell>
          <cell r="E470" t="str">
            <v>KOHNTSCHLSTVR49</v>
          </cell>
        </row>
        <row r="471">
          <cell r="A471">
            <v>1394</v>
          </cell>
          <cell r="D471" t="str">
            <v>True</v>
          </cell>
          <cell r="E471" t="str">
            <v>KOSCHMESTG44</v>
          </cell>
        </row>
        <row r="472">
          <cell r="A472">
            <v>1458</v>
          </cell>
          <cell r="D472" t="str">
            <v>False</v>
          </cell>
          <cell r="E472" t="str">
            <v>KOSCHMTTSTPO69</v>
          </cell>
        </row>
        <row r="473">
          <cell r="A473">
            <v>140</v>
          </cell>
          <cell r="D473" t="str">
            <v>True</v>
          </cell>
          <cell r="E473" t="str">
            <v>GagelSGBIII</v>
          </cell>
        </row>
        <row r="474">
          <cell r="A474">
            <v>1041</v>
          </cell>
          <cell r="D474" t="str">
            <v>False</v>
          </cell>
          <cell r="E474" t="str">
            <v>NOHKKSR6</v>
          </cell>
        </row>
        <row r="475">
          <cell r="A475">
            <v>1184</v>
          </cell>
          <cell r="D475" t="str">
            <v>False</v>
          </cell>
          <cell r="E475" t="str">
            <v>NOHKKSR7</v>
          </cell>
        </row>
        <row r="476">
          <cell r="A476">
            <v>810</v>
          </cell>
          <cell r="D476" t="str">
            <v>False</v>
          </cell>
          <cell r="E476" t="str">
            <v>AVGEBR</v>
          </cell>
        </row>
        <row r="477">
          <cell r="A477">
            <v>832</v>
          </cell>
          <cell r="D477" t="str">
            <v>False</v>
          </cell>
          <cell r="E477" t="str">
            <v>AVGEBRVG</v>
          </cell>
        </row>
        <row r="478">
          <cell r="A478">
            <v>392</v>
          </cell>
          <cell r="D478" t="str">
            <v>False</v>
          </cell>
          <cell r="E478" t="str">
            <v>GEWAP</v>
          </cell>
        </row>
        <row r="479">
          <cell r="A479">
            <v>1198</v>
          </cell>
          <cell r="D479" t="str">
            <v>False</v>
          </cell>
          <cell r="E479" t="str">
            <v>GEWARDIR</v>
          </cell>
        </row>
        <row r="480">
          <cell r="A480">
            <v>1441</v>
          </cell>
          <cell r="D480" t="str">
            <v>False</v>
          </cell>
          <cell r="E480" t="str">
            <v>BOGRSOPT</v>
          </cell>
        </row>
        <row r="481">
          <cell r="A481">
            <v>753</v>
          </cell>
          <cell r="D481" t="str">
            <v>False</v>
          </cell>
          <cell r="E481" t="str">
            <v>BOGRSPN2</v>
          </cell>
        </row>
        <row r="482">
          <cell r="A482">
            <v>55</v>
          </cell>
          <cell r="D482" t="str">
            <v>False</v>
          </cell>
          <cell r="E482" t="str">
            <v>BOGRSP</v>
          </cell>
        </row>
        <row r="483">
          <cell r="A483">
            <v>444</v>
          </cell>
          <cell r="D483" t="str">
            <v>False</v>
          </cell>
          <cell r="E483" t="str">
            <v>BOGRSPN</v>
          </cell>
        </row>
        <row r="484">
          <cell r="A484">
            <v>754</v>
          </cell>
          <cell r="D484" t="str">
            <v>False</v>
          </cell>
          <cell r="E484" t="str">
            <v>BOGRSPRN</v>
          </cell>
        </row>
        <row r="485">
          <cell r="A485">
            <v>502</v>
          </cell>
          <cell r="D485" t="str">
            <v>False</v>
          </cell>
          <cell r="E485" t="str">
            <v>BOGRSPREM</v>
          </cell>
        </row>
        <row r="486">
          <cell r="A486">
            <v>975</v>
          </cell>
          <cell r="D486" t="str">
            <v>False</v>
          </cell>
          <cell r="E486" t="str">
            <v>SYNGRS</v>
          </cell>
        </row>
        <row r="487">
          <cell r="A487">
            <v>635</v>
          </cell>
          <cell r="D487" t="str">
            <v>True</v>
          </cell>
        </row>
        <row r="488">
          <cell r="A488">
            <v>1006</v>
          </cell>
          <cell r="D488" t="str">
            <v>False</v>
          </cell>
          <cell r="E488" t="str">
            <v>NOSKAR3</v>
          </cell>
        </row>
        <row r="489">
          <cell r="A489">
            <v>589</v>
          </cell>
          <cell r="D489" t="str">
            <v>False</v>
          </cell>
          <cell r="E489" t="str">
            <v>NOKOSKARB</v>
          </cell>
        </row>
        <row r="490">
          <cell r="A490">
            <v>1234</v>
          </cell>
          <cell r="D490" t="str">
            <v>True</v>
          </cell>
          <cell r="E490" t="str">
            <v>GRNBRG-AUTOR</v>
          </cell>
        </row>
        <row r="491">
          <cell r="A491">
            <v>1369</v>
          </cell>
          <cell r="D491" t="str">
            <v>False</v>
          </cell>
          <cell r="E491" t="str">
            <v>KOGBBGB83</v>
          </cell>
        </row>
        <row r="492">
          <cell r="A492">
            <v>1399</v>
          </cell>
          <cell r="D492" t="str">
            <v>False</v>
          </cell>
          <cell r="E492" t="str">
            <v>KOGBBGB84</v>
          </cell>
        </row>
        <row r="493">
          <cell r="A493">
            <v>1469</v>
          </cell>
          <cell r="D493" t="str">
            <v>False</v>
          </cell>
          <cell r="E493" t="str">
            <v>KOGBBGB85</v>
          </cell>
        </row>
        <row r="494">
          <cell r="A494">
            <v>1249</v>
          </cell>
          <cell r="D494" t="str">
            <v>False</v>
          </cell>
          <cell r="E494" t="str">
            <v>GRURDVDP</v>
          </cell>
        </row>
        <row r="495">
          <cell r="A495">
            <v>1321</v>
          </cell>
          <cell r="D495" t="str">
            <v>False</v>
          </cell>
          <cell r="E495" t="str">
            <v>GRURPATO</v>
          </cell>
        </row>
        <row r="496">
          <cell r="A496">
            <v>56</v>
          </cell>
          <cell r="D496" t="str">
            <v>False</v>
          </cell>
          <cell r="E496" t="str">
            <v>GRURP</v>
          </cell>
        </row>
        <row r="497">
          <cell r="A497">
            <v>490</v>
          </cell>
          <cell r="D497" t="str">
            <v>False</v>
          </cell>
          <cell r="E497" t="str">
            <v>GRURPXO</v>
          </cell>
        </row>
        <row r="498">
          <cell r="A498">
            <v>491</v>
          </cell>
          <cell r="D498" t="str">
            <v>False</v>
          </cell>
          <cell r="E498" t="str">
            <v>GRURPXP</v>
          </cell>
        </row>
        <row r="499">
          <cell r="A499">
            <v>1030</v>
          </cell>
          <cell r="D499" t="str">
            <v>False</v>
          </cell>
          <cell r="E499" t="str">
            <v>GSZDIR</v>
          </cell>
        </row>
        <row r="500">
          <cell r="A500">
            <v>914</v>
          </cell>
          <cell r="D500" t="str">
            <v>False</v>
          </cell>
          <cell r="E500" t="str">
            <v>GUPDIR</v>
          </cell>
        </row>
        <row r="501">
          <cell r="A501">
            <v>449</v>
          </cell>
          <cell r="D501" t="str">
            <v>False</v>
          </cell>
          <cell r="E501" t="str">
            <v>GWRO</v>
          </cell>
        </row>
        <row r="502">
          <cell r="A502">
            <v>470</v>
          </cell>
          <cell r="D502" t="str">
            <v>False</v>
          </cell>
          <cell r="E502" t="str">
            <v>GWRP</v>
          </cell>
        </row>
        <row r="503">
          <cell r="A503">
            <v>28</v>
          </cell>
          <cell r="D503" t="str">
            <v>False</v>
          </cell>
          <cell r="E503" t="str">
            <v>SCHOP</v>
          </cell>
        </row>
        <row r="504">
          <cell r="A504">
            <v>1096</v>
          </cell>
          <cell r="D504" t="str">
            <v>True</v>
          </cell>
          <cell r="E504" t="str">
            <v>HBERBW19</v>
          </cell>
        </row>
        <row r="505">
          <cell r="A505">
            <v>1141</v>
          </cell>
          <cell r="D505" t="str">
            <v>True</v>
          </cell>
          <cell r="E505" t="str">
            <v>HBERBW20</v>
          </cell>
        </row>
        <row r="506">
          <cell r="A506">
            <v>1214</v>
          </cell>
          <cell r="D506" t="str">
            <v>True</v>
          </cell>
          <cell r="E506" t="str">
            <v>HBERBW21</v>
          </cell>
        </row>
        <row r="507">
          <cell r="A507">
            <v>1257</v>
          </cell>
          <cell r="D507" t="str">
            <v>True</v>
          </cell>
          <cell r="E507" t="str">
            <v>HBERBW22</v>
          </cell>
        </row>
        <row r="508">
          <cell r="A508">
            <v>1300</v>
          </cell>
          <cell r="D508" t="str">
            <v>True</v>
          </cell>
          <cell r="E508" t="str">
            <v>HBERBW23</v>
          </cell>
        </row>
        <row r="509">
          <cell r="A509">
            <v>1356</v>
          </cell>
          <cell r="D509" t="str">
            <v>True</v>
          </cell>
          <cell r="E509" t="str">
            <v>HBERBW24</v>
          </cell>
        </row>
        <row r="510">
          <cell r="A510">
            <v>1428</v>
          </cell>
          <cell r="D510" t="str">
            <v>True</v>
          </cell>
          <cell r="E510" t="str">
            <v>HBERBW25</v>
          </cell>
        </row>
        <row r="511">
          <cell r="A511">
            <v>1095</v>
          </cell>
          <cell r="D511" t="str">
            <v>True</v>
          </cell>
          <cell r="E511" t="str">
            <v>HBLST19</v>
          </cell>
        </row>
        <row r="512">
          <cell r="A512">
            <v>1137</v>
          </cell>
          <cell r="D512" t="str">
            <v>True</v>
          </cell>
          <cell r="E512" t="str">
            <v>HBLST20</v>
          </cell>
        </row>
        <row r="513">
          <cell r="A513">
            <v>1212</v>
          </cell>
          <cell r="D513" t="str">
            <v>True</v>
          </cell>
          <cell r="E513" t="str">
            <v>HBLST21</v>
          </cell>
        </row>
        <row r="514">
          <cell r="A514">
            <v>1256</v>
          </cell>
          <cell r="D514" t="str">
            <v>True</v>
          </cell>
          <cell r="E514" t="str">
            <v>HBLST22</v>
          </cell>
        </row>
        <row r="515">
          <cell r="A515">
            <v>1299</v>
          </cell>
          <cell r="D515" t="str">
            <v>True</v>
          </cell>
          <cell r="E515" t="str">
            <v>HBLST23</v>
          </cell>
        </row>
        <row r="516">
          <cell r="A516">
            <v>1357</v>
          </cell>
          <cell r="D516" t="str">
            <v>True</v>
          </cell>
          <cell r="E516" t="str">
            <v>HBLST24</v>
          </cell>
        </row>
        <row r="517">
          <cell r="A517">
            <v>1427</v>
          </cell>
          <cell r="D517" t="str">
            <v>True</v>
          </cell>
          <cell r="E517" t="str">
            <v>HBLST25</v>
          </cell>
        </row>
        <row r="518">
          <cell r="A518">
            <v>279</v>
          </cell>
          <cell r="D518" t="str">
            <v>False</v>
          </cell>
          <cell r="E518" t="str">
            <v>AWHGR</v>
          </cell>
        </row>
        <row r="519">
          <cell r="A519">
            <v>656</v>
          </cell>
          <cell r="D519" t="str">
            <v>False</v>
          </cell>
          <cell r="E519" t="str">
            <v>FJAHGR</v>
          </cell>
        </row>
        <row r="520">
          <cell r="A520">
            <v>492</v>
          </cell>
          <cell r="D520" t="str">
            <v>False</v>
          </cell>
          <cell r="E520" t="str">
            <v>DGHGR</v>
          </cell>
        </row>
        <row r="521">
          <cell r="A521">
            <v>1149</v>
          </cell>
          <cell r="D521" t="str">
            <v>False</v>
          </cell>
          <cell r="E521" t="str">
            <v>GMHGR</v>
          </cell>
        </row>
        <row r="522">
          <cell r="A522">
            <v>936</v>
          </cell>
          <cell r="D522" t="str">
            <v>False</v>
          </cell>
          <cell r="E522" t="str">
            <v>HMHGR</v>
          </cell>
        </row>
        <row r="523">
          <cell r="A523">
            <v>1002</v>
          </cell>
          <cell r="D523" t="str">
            <v>False</v>
          </cell>
          <cell r="E523" t="str">
            <v>BOHGRINTB</v>
          </cell>
        </row>
        <row r="524">
          <cell r="A524">
            <v>575</v>
          </cell>
          <cell r="D524" t="str">
            <v>False</v>
          </cell>
          <cell r="E524" t="str">
            <v>BOHGROPT</v>
          </cell>
        </row>
        <row r="525">
          <cell r="A525">
            <v>36</v>
          </cell>
          <cell r="D525" t="str">
            <v>False</v>
          </cell>
          <cell r="E525" t="str">
            <v>BOHGRP</v>
          </cell>
        </row>
        <row r="526">
          <cell r="A526">
            <v>396</v>
          </cell>
          <cell r="D526" t="str">
            <v>False</v>
          </cell>
          <cell r="E526" t="str">
            <v>BOHGRPRN</v>
          </cell>
        </row>
        <row r="527">
          <cell r="A527">
            <v>244</v>
          </cell>
          <cell r="D527" t="str">
            <v>False</v>
          </cell>
          <cell r="E527" t="str">
            <v>BOHGRPREM</v>
          </cell>
        </row>
        <row r="528">
          <cell r="A528">
            <v>974</v>
          </cell>
          <cell r="D528" t="str">
            <v>False</v>
          </cell>
          <cell r="E528" t="str">
            <v>SYNHGR</v>
          </cell>
        </row>
        <row r="529">
          <cell r="A529">
            <v>1010</v>
          </cell>
          <cell r="D529" t="str">
            <v>False</v>
          </cell>
          <cell r="E529" t="str">
            <v>FORMVU2</v>
          </cell>
        </row>
        <row r="530">
          <cell r="A530">
            <v>1352</v>
          </cell>
          <cell r="D530" t="str">
            <v>False</v>
          </cell>
          <cell r="E530" t="str">
            <v>HDR24</v>
          </cell>
        </row>
        <row r="531">
          <cell r="A531">
            <v>1444</v>
          </cell>
          <cell r="D531" t="str">
            <v>False</v>
          </cell>
          <cell r="E531" t="str">
            <v>HDR25</v>
          </cell>
        </row>
        <row r="532">
          <cell r="A532">
            <v>1261</v>
          </cell>
          <cell r="D532" t="str">
            <v>False</v>
          </cell>
          <cell r="E532" t="str">
            <v>NOHKNOT1</v>
          </cell>
        </row>
        <row r="533">
          <cell r="A533">
            <v>513</v>
          </cell>
          <cell r="D533" t="str">
            <v>False</v>
          </cell>
          <cell r="E533" t="str">
            <v>KOHOR</v>
          </cell>
        </row>
        <row r="534">
          <cell r="A534">
            <v>1462</v>
          </cell>
          <cell r="D534" t="str">
            <v>True</v>
          </cell>
          <cell r="E534" t="str">
            <v>HNTSCHKNG-AUTOR</v>
          </cell>
        </row>
        <row r="535">
          <cell r="A535">
            <v>1113</v>
          </cell>
          <cell r="D535" t="str">
            <v>True</v>
          </cell>
          <cell r="E535" t="str">
            <v>HJ-AUTOR</v>
          </cell>
        </row>
        <row r="536">
          <cell r="A536">
            <v>801</v>
          </cell>
          <cell r="D536" t="str">
            <v>True</v>
          </cell>
          <cell r="E536" t="str">
            <v>HKAUSLR</v>
          </cell>
        </row>
        <row r="537">
          <cell r="A537">
            <v>184</v>
          </cell>
          <cell r="D537" t="str">
            <v>False</v>
          </cell>
          <cell r="E537" t="str">
            <v>UNI1</v>
          </cell>
        </row>
        <row r="538">
          <cell r="A538">
            <v>1004</v>
          </cell>
          <cell r="D538" t="str">
            <v>False</v>
          </cell>
          <cell r="E538" t="str">
            <v>BOHSRP</v>
          </cell>
        </row>
        <row r="539">
          <cell r="A539">
            <v>1443</v>
          </cell>
          <cell r="D539" t="str">
            <v>False</v>
          </cell>
          <cell r="E539" t="str">
            <v>NOFOFAMU1</v>
          </cell>
        </row>
        <row r="540">
          <cell r="A540">
            <v>790</v>
          </cell>
          <cell r="D540" t="str">
            <v>True</v>
          </cell>
          <cell r="E540" t="str">
            <v>HOEKOAUTOR</v>
          </cell>
        </row>
        <row r="541">
          <cell r="A541">
            <v>1370</v>
          </cell>
          <cell r="D541" t="str">
            <v>False</v>
          </cell>
          <cell r="E541" t="str">
            <v>NOHBHSRB</v>
          </cell>
        </row>
        <row r="542">
          <cell r="A542">
            <v>1027</v>
          </cell>
          <cell r="D542" t="str">
            <v>False</v>
          </cell>
          <cell r="E542" t="str">
            <v>NOFOAR9</v>
          </cell>
        </row>
        <row r="543">
          <cell r="A543">
            <v>1260</v>
          </cell>
          <cell r="D543" t="str">
            <v>False</v>
          </cell>
          <cell r="E543" t="str">
            <v>NOFOAR10</v>
          </cell>
        </row>
        <row r="544">
          <cell r="A544">
            <v>1466</v>
          </cell>
          <cell r="D544" t="str">
            <v>True</v>
          </cell>
          <cell r="E544" t="str">
            <v>IDVERLAGPORTAL</v>
          </cell>
        </row>
        <row r="545">
          <cell r="A545">
            <v>995</v>
          </cell>
          <cell r="D545" t="str">
            <v>False</v>
          </cell>
          <cell r="E545" t="str">
            <v>IDWBT</v>
          </cell>
        </row>
        <row r="546">
          <cell r="A546">
            <v>999</v>
          </cell>
          <cell r="D546" t="str">
            <v>False</v>
          </cell>
          <cell r="E546" t="str">
            <v>IDWSI</v>
          </cell>
        </row>
        <row r="547">
          <cell r="A547">
            <v>809</v>
          </cell>
          <cell r="D547" t="str">
            <v>False</v>
          </cell>
          <cell r="E547" t="str">
            <v>IDWWP</v>
          </cell>
        </row>
        <row r="548">
          <cell r="A548">
            <v>521</v>
          </cell>
          <cell r="D548" t="str">
            <v>False</v>
          </cell>
          <cell r="E548" t="str">
            <v>IILRP</v>
          </cell>
        </row>
        <row r="549">
          <cell r="A549">
            <v>679</v>
          </cell>
          <cell r="D549" t="str">
            <v>False</v>
          </cell>
          <cell r="E549" t="str">
            <v>IMMDAT13</v>
          </cell>
        </row>
        <row r="550">
          <cell r="A550">
            <v>751</v>
          </cell>
          <cell r="D550" t="str">
            <v>False</v>
          </cell>
          <cell r="E550" t="str">
            <v>IMMDAT14</v>
          </cell>
        </row>
        <row r="551">
          <cell r="A551">
            <v>811</v>
          </cell>
          <cell r="D551" t="str">
            <v>False</v>
          </cell>
          <cell r="E551" t="str">
            <v>IMMDAT15</v>
          </cell>
        </row>
        <row r="552">
          <cell r="A552">
            <v>871</v>
          </cell>
          <cell r="D552" t="str">
            <v>False</v>
          </cell>
          <cell r="E552" t="str">
            <v>IMMDAT16</v>
          </cell>
        </row>
        <row r="553">
          <cell r="A553">
            <v>946</v>
          </cell>
          <cell r="D553" t="str">
            <v>False</v>
          </cell>
          <cell r="E553" t="str">
            <v>IMMDAT17</v>
          </cell>
        </row>
        <row r="554">
          <cell r="A554">
            <v>1009</v>
          </cell>
          <cell r="D554" t="str">
            <v>False</v>
          </cell>
          <cell r="E554" t="str">
            <v>IMMDAT18</v>
          </cell>
        </row>
        <row r="555">
          <cell r="A555">
            <v>1079</v>
          </cell>
          <cell r="D555" t="str">
            <v>False</v>
          </cell>
          <cell r="E555" t="str">
            <v>IMMDAT19</v>
          </cell>
        </row>
        <row r="556">
          <cell r="A556">
            <v>1271</v>
          </cell>
          <cell r="D556" t="str">
            <v>False</v>
          </cell>
          <cell r="E556" t="str">
            <v>BOIMWRP</v>
          </cell>
        </row>
        <row r="557">
          <cell r="A557">
            <v>1283</v>
          </cell>
          <cell r="D557" t="str">
            <v>False</v>
          </cell>
          <cell r="E557" t="str">
            <v>BOIMWRPREM</v>
          </cell>
        </row>
        <row r="558">
          <cell r="A558">
            <v>1084</v>
          </cell>
          <cell r="D558" t="str">
            <v>False</v>
          </cell>
          <cell r="E558" t="str">
            <v>INALSODIR</v>
          </cell>
        </row>
        <row r="559">
          <cell r="A559">
            <v>129</v>
          </cell>
          <cell r="D559" t="str">
            <v>False</v>
          </cell>
          <cell r="E559" t="str">
            <v>IRP</v>
          </cell>
        </row>
        <row r="560">
          <cell r="A560">
            <v>480</v>
          </cell>
          <cell r="D560" t="str">
            <v>False</v>
          </cell>
          <cell r="E560" t="str">
            <v>DGINSR</v>
          </cell>
        </row>
        <row r="561">
          <cell r="A561">
            <v>185</v>
          </cell>
          <cell r="D561" t="str">
            <v>False</v>
          </cell>
          <cell r="E561" t="str">
            <v>BOINSRP</v>
          </cell>
        </row>
        <row r="562">
          <cell r="A562">
            <v>482</v>
          </cell>
          <cell r="D562" t="str">
            <v>False</v>
          </cell>
          <cell r="E562" t="str">
            <v>BOINSRPREM</v>
          </cell>
        </row>
        <row r="563">
          <cell r="A563">
            <v>890</v>
          </cell>
          <cell r="D563" t="str">
            <v>False</v>
          </cell>
          <cell r="E563" t="str">
            <v>RWSINSR</v>
          </cell>
        </row>
        <row r="564">
          <cell r="A564">
            <v>910</v>
          </cell>
          <cell r="D564" t="str">
            <v>False</v>
          </cell>
          <cell r="E564" t="str">
            <v>INTERP</v>
          </cell>
        </row>
        <row r="565">
          <cell r="A565">
            <v>1001</v>
          </cell>
          <cell r="D565" t="str">
            <v>False</v>
          </cell>
          <cell r="E565" t="str">
            <v>IRDIR</v>
          </cell>
        </row>
        <row r="566">
          <cell r="A566">
            <v>545</v>
          </cell>
          <cell r="D566" t="str">
            <v>True</v>
          </cell>
        </row>
        <row r="567">
          <cell r="A567">
            <v>1031</v>
          </cell>
          <cell r="D567" t="str">
            <v>False</v>
          </cell>
          <cell r="E567" t="str">
            <v>IRZDIR</v>
          </cell>
        </row>
        <row r="568">
          <cell r="A568">
            <v>740</v>
          </cell>
          <cell r="D568" t="str">
            <v>True</v>
          </cell>
          <cell r="E568" t="str">
            <v>ISTR-AUTOR</v>
          </cell>
        </row>
        <row r="569">
          <cell r="A569">
            <v>1182</v>
          </cell>
          <cell r="D569" t="str">
            <v>False</v>
          </cell>
          <cell r="E569" t="str">
            <v>ISTRDIR</v>
          </cell>
        </row>
        <row r="570">
          <cell r="A570">
            <v>376</v>
          </cell>
          <cell r="D570" t="str">
            <v>False</v>
          </cell>
          <cell r="E570" t="str">
            <v>BOMMRP</v>
          </cell>
        </row>
        <row r="571">
          <cell r="A571">
            <v>949</v>
          </cell>
          <cell r="D571" t="str">
            <v>False</v>
          </cell>
          <cell r="E571" t="str">
            <v>BOMMRPREM</v>
          </cell>
        </row>
        <row r="572">
          <cell r="A572">
            <v>71</v>
          </cell>
          <cell r="D572" t="str">
            <v>False</v>
          </cell>
          <cell r="E572" t="str">
            <v>IVHP</v>
          </cell>
        </row>
        <row r="573">
          <cell r="A573">
            <v>873</v>
          </cell>
          <cell r="D573" t="str">
            <v>False</v>
          </cell>
          <cell r="E573" t="str">
            <v>IWRZDIR</v>
          </cell>
        </row>
        <row r="574">
          <cell r="A574">
            <v>667</v>
          </cell>
          <cell r="D574" t="str">
            <v>False</v>
          </cell>
          <cell r="E574" t="str">
            <v>JAPREM</v>
          </cell>
        </row>
        <row r="575">
          <cell r="A575">
            <v>666</v>
          </cell>
          <cell r="D575" t="str">
            <v>False</v>
          </cell>
          <cell r="E575" t="str">
            <v>JADIR</v>
          </cell>
        </row>
        <row r="576">
          <cell r="A576">
            <v>1229</v>
          </cell>
          <cell r="D576" t="str">
            <v>False</v>
          </cell>
          <cell r="E576" t="str">
            <v>NOFOVR5</v>
          </cell>
        </row>
        <row r="577">
          <cell r="A577">
            <v>466</v>
          </cell>
          <cell r="D577" t="str">
            <v>False</v>
          </cell>
        </row>
        <row r="578">
          <cell r="A578">
            <v>1329</v>
          </cell>
          <cell r="D578" t="str">
            <v>False</v>
          </cell>
          <cell r="E578" t="str">
            <v>JUSJAP</v>
          </cell>
        </row>
        <row r="579">
          <cell r="A579">
            <v>494</v>
          </cell>
          <cell r="D579" t="str">
            <v>False</v>
          </cell>
          <cell r="E579" t="str">
            <v>JUSPREM</v>
          </cell>
        </row>
        <row r="580">
          <cell r="A580">
            <v>70</v>
          </cell>
          <cell r="D580" t="str">
            <v>False</v>
          </cell>
          <cell r="E580" t="str">
            <v>JUSP</v>
          </cell>
        </row>
        <row r="581">
          <cell r="A581">
            <v>352</v>
          </cell>
          <cell r="D581" t="str">
            <v>False</v>
          </cell>
          <cell r="E581" t="str">
            <v>JUSDIR</v>
          </cell>
        </row>
        <row r="582">
          <cell r="A582">
            <v>132</v>
          </cell>
          <cell r="D582" t="str">
            <v>False</v>
          </cell>
          <cell r="E582" t="str">
            <v>JUSTIZ1</v>
          </cell>
        </row>
        <row r="583">
          <cell r="A583">
            <v>133</v>
          </cell>
          <cell r="D583" t="str">
            <v>False</v>
          </cell>
          <cell r="E583" t="str">
            <v>JUSTIZ2</v>
          </cell>
        </row>
        <row r="584">
          <cell r="A584">
            <v>235</v>
          </cell>
          <cell r="D584" t="str">
            <v>False</v>
          </cell>
          <cell r="E584" t="str">
            <v>JUSTIZ4</v>
          </cell>
        </row>
        <row r="585">
          <cell r="A585">
            <v>241</v>
          </cell>
          <cell r="D585" t="str">
            <v>False</v>
          </cell>
          <cell r="E585" t="str">
            <v>JUSTIZ5</v>
          </cell>
        </row>
        <row r="586">
          <cell r="A586">
            <v>242</v>
          </cell>
          <cell r="D586" t="str">
            <v>False</v>
          </cell>
          <cell r="E586" t="str">
            <v>JUSTIZ6</v>
          </cell>
        </row>
        <row r="587">
          <cell r="A587">
            <v>247</v>
          </cell>
          <cell r="D587" t="str">
            <v>False</v>
          </cell>
          <cell r="E587" t="str">
            <v>JUSTIZ7</v>
          </cell>
        </row>
        <row r="588">
          <cell r="A588">
            <v>248</v>
          </cell>
          <cell r="D588" t="str">
            <v>False</v>
          </cell>
          <cell r="E588" t="str">
            <v>JUSTIZ8</v>
          </cell>
        </row>
        <row r="589">
          <cell r="A589">
            <v>702</v>
          </cell>
          <cell r="D589" t="str">
            <v>False</v>
          </cell>
          <cell r="E589" t="str">
            <v>JUSTIZ9</v>
          </cell>
        </row>
        <row r="590">
          <cell r="A590">
            <v>1238</v>
          </cell>
          <cell r="D590" t="str">
            <v>False</v>
          </cell>
          <cell r="E590" t="str">
            <v>JUOPTBY</v>
          </cell>
        </row>
        <row r="591">
          <cell r="A591">
            <v>1033</v>
          </cell>
          <cell r="D591" t="str">
            <v>False</v>
          </cell>
          <cell r="E591" t="str">
            <v>JUOPT</v>
          </cell>
        </row>
        <row r="592">
          <cell r="A592">
            <v>1349</v>
          </cell>
          <cell r="D592" t="str">
            <v>False</v>
          </cell>
          <cell r="E592" t="str">
            <v>JUOPT24</v>
          </cell>
        </row>
        <row r="593">
          <cell r="A593">
            <v>1170</v>
          </cell>
          <cell r="D593" t="str">
            <v>False</v>
          </cell>
          <cell r="E593" t="str">
            <v>JUOPTERG2020</v>
          </cell>
        </row>
        <row r="594">
          <cell r="A594">
            <v>511</v>
          </cell>
          <cell r="D594" t="str">
            <v>False</v>
          </cell>
          <cell r="E594" t="str">
            <v>JUBZPREM</v>
          </cell>
        </row>
        <row r="595">
          <cell r="A595">
            <v>849</v>
          </cell>
          <cell r="D595" t="str">
            <v>False</v>
          </cell>
          <cell r="E595" t="str">
            <v>JUERGA</v>
          </cell>
        </row>
        <row r="596">
          <cell r="A596">
            <v>852</v>
          </cell>
          <cell r="D596" t="str">
            <v>False</v>
          </cell>
          <cell r="E596" t="str">
            <v>JUERGB</v>
          </cell>
        </row>
        <row r="597">
          <cell r="A597">
            <v>853</v>
          </cell>
          <cell r="D597" t="str">
            <v>False</v>
          </cell>
          <cell r="E597" t="str">
            <v>JUERGC</v>
          </cell>
        </row>
        <row r="598">
          <cell r="A598">
            <v>854</v>
          </cell>
          <cell r="D598" t="str">
            <v>False</v>
          </cell>
          <cell r="E598" t="str">
            <v>JUERGD</v>
          </cell>
        </row>
        <row r="599">
          <cell r="A599">
            <v>859</v>
          </cell>
          <cell r="D599" t="str">
            <v>False</v>
          </cell>
          <cell r="E599" t="str">
            <v>JUERGKA</v>
          </cell>
        </row>
        <row r="600">
          <cell r="A600">
            <v>861</v>
          </cell>
          <cell r="D600" t="str">
            <v>False</v>
          </cell>
          <cell r="E600" t="str">
            <v>JUERGKB</v>
          </cell>
        </row>
        <row r="601">
          <cell r="A601">
            <v>862</v>
          </cell>
          <cell r="D601" t="str">
            <v>False</v>
          </cell>
          <cell r="E601" t="str">
            <v>JUERGKC</v>
          </cell>
        </row>
        <row r="602">
          <cell r="A602">
            <v>863</v>
          </cell>
          <cell r="D602" t="str">
            <v>False</v>
          </cell>
          <cell r="E602" t="str">
            <v>JUERGKD</v>
          </cell>
        </row>
        <row r="603">
          <cell r="A603">
            <v>508</v>
          </cell>
          <cell r="D603" t="str">
            <v>False</v>
          </cell>
          <cell r="E603" t="str">
            <v>JUKOMM3</v>
          </cell>
        </row>
        <row r="604">
          <cell r="A604">
            <v>509</v>
          </cell>
          <cell r="D604" t="str">
            <v>False</v>
          </cell>
          <cell r="E604" t="str">
            <v>JUKOMM5</v>
          </cell>
        </row>
        <row r="605">
          <cell r="A605">
            <v>504</v>
          </cell>
          <cell r="D605" t="str">
            <v>False</v>
          </cell>
          <cell r="E605" t="str">
            <v>JUOKKL7</v>
          </cell>
        </row>
        <row r="606">
          <cell r="A606">
            <v>498</v>
          </cell>
          <cell r="D606" t="str">
            <v>False</v>
          </cell>
          <cell r="E606" t="str">
            <v>JUOKGBO</v>
          </cell>
        </row>
        <row r="607">
          <cell r="A607">
            <v>495</v>
          </cell>
          <cell r="D607" t="str">
            <v>False</v>
          </cell>
          <cell r="E607" t="str">
            <v>JUOKPREM</v>
          </cell>
        </row>
        <row r="608">
          <cell r="A608">
            <v>574</v>
          </cell>
          <cell r="D608" t="str">
            <v>False</v>
          </cell>
          <cell r="E608" t="str">
            <v>JUOKSTRAFR</v>
          </cell>
        </row>
        <row r="609">
          <cell r="A609">
            <v>847</v>
          </cell>
          <cell r="D609" t="str">
            <v>False</v>
          </cell>
          <cell r="E609" t="str">
            <v>JUOKSTRAFV</v>
          </cell>
        </row>
        <row r="610">
          <cell r="A610">
            <v>892</v>
          </cell>
          <cell r="D610" t="str">
            <v>False</v>
          </cell>
          <cell r="E610" t="str">
            <v>JUBWSCHOEN</v>
          </cell>
        </row>
        <row r="611">
          <cell r="A611">
            <v>500</v>
          </cell>
          <cell r="D611" t="str">
            <v>False</v>
          </cell>
          <cell r="E611" t="str">
            <v>JUERBS</v>
          </cell>
        </row>
        <row r="612">
          <cell r="A612">
            <v>496</v>
          </cell>
          <cell r="D612" t="str">
            <v>False</v>
          </cell>
          <cell r="E612" t="str">
            <v>JUGEIGEL</v>
          </cell>
        </row>
        <row r="613">
          <cell r="A613">
            <v>499</v>
          </cell>
          <cell r="D613" t="str">
            <v>False</v>
          </cell>
          <cell r="E613" t="str">
            <v>JUGRABITZ</v>
          </cell>
        </row>
        <row r="614">
          <cell r="A614">
            <v>497</v>
          </cell>
          <cell r="D614" t="str">
            <v>False</v>
          </cell>
          <cell r="E614" t="str">
            <v>JUZPO</v>
          </cell>
        </row>
        <row r="615">
          <cell r="A615">
            <v>1186</v>
          </cell>
          <cell r="D615" t="str">
            <v>True</v>
          </cell>
          <cell r="E615" t="str">
            <v>NOMPRAXABSCHH</v>
          </cell>
        </row>
        <row r="616">
          <cell r="A616">
            <v>1303</v>
          </cell>
          <cell r="D616" t="str">
            <v>False</v>
          </cell>
          <cell r="E616" t="str">
            <v>KAPTAB1</v>
          </cell>
        </row>
        <row r="617">
          <cell r="A617">
            <v>822</v>
          </cell>
          <cell r="D617" t="str">
            <v>False</v>
          </cell>
          <cell r="E617" t="str">
            <v>LHKART</v>
          </cell>
        </row>
        <row r="618">
          <cell r="A618">
            <v>1405</v>
          </cell>
          <cell r="D618" t="str">
            <v>False</v>
          </cell>
          <cell r="E618" t="str">
            <v>BOKARTOPT</v>
          </cell>
        </row>
        <row r="619">
          <cell r="A619">
            <v>1193</v>
          </cell>
          <cell r="D619" t="str">
            <v>False</v>
          </cell>
          <cell r="E619" t="str">
            <v>BOKARTBAS</v>
          </cell>
        </row>
        <row r="620">
          <cell r="A620">
            <v>686</v>
          </cell>
          <cell r="D620" t="str">
            <v>False</v>
          </cell>
          <cell r="E620" t="str">
            <v>BOKARTP</v>
          </cell>
        </row>
        <row r="621">
          <cell r="A621">
            <v>139</v>
          </cell>
          <cell r="D621" t="str">
            <v>True</v>
          </cell>
        </row>
        <row r="622">
          <cell r="A622">
            <v>408</v>
          </cell>
          <cell r="D622" t="str">
            <v>False</v>
          </cell>
          <cell r="E622" t="str">
            <v>KIBW</v>
          </cell>
        </row>
        <row r="623">
          <cell r="A623">
            <v>842</v>
          </cell>
          <cell r="D623" t="str">
            <v>True</v>
          </cell>
          <cell r="E623" t="str">
            <v>KIJUPAUTOR</v>
          </cell>
        </row>
        <row r="624">
          <cell r="A624">
            <v>795</v>
          </cell>
          <cell r="D624" t="str">
            <v>False</v>
          </cell>
          <cell r="E624" t="str">
            <v>BONORKJ</v>
          </cell>
        </row>
        <row r="625">
          <cell r="A625">
            <v>1430</v>
          </cell>
          <cell r="D625" t="str">
            <v>True</v>
          </cell>
          <cell r="E625" t="str">
            <v>KIGENVBMI</v>
          </cell>
        </row>
        <row r="626">
          <cell r="A626">
            <v>1373</v>
          </cell>
          <cell r="D626" t="str">
            <v>False</v>
          </cell>
          <cell r="E626" t="str">
            <v>KIRDIR</v>
          </cell>
        </row>
        <row r="627">
          <cell r="A627">
            <v>1379</v>
          </cell>
          <cell r="D627" t="str">
            <v>False</v>
          </cell>
          <cell r="E627" t="str">
            <v>BOKIRP</v>
          </cell>
        </row>
        <row r="628">
          <cell r="A628">
            <v>1237</v>
          </cell>
          <cell r="D628" t="str">
            <v>False</v>
          </cell>
          <cell r="E628" t="str">
            <v>KLIMRDIR</v>
          </cell>
        </row>
        <row r="629">
          <cell r="A629">
            <v>355</v>
          </cell>
          <cell r="D629" t="str">
            <v>False</v>
          </cell>
          <cell r="E629" t="str">
            <v>KOMMJURP</v>
          </cell>
        </row>
        <row r="630">
          <cell r="A630">
            <v>688</v>
          </cell>
          <cell r="D630" t="str">
            <v>False</v>
          </cell>
          <cell r="E630" t="str">
            <v>KOMMJURDIR</v>
          </cell>
        </row>
        <row r="631">
          <cell r="A631">
            <v>1434</v>
          </cell>
          <cell r="D631" t="str">
            <v>True</v>
          </cell>
          <cell r="E631" t="str">
            <v>KOOPLINDE</v>
          </cell>
        </row>
        <row r="632">
          <cell r="A632">
            <v>477</v>
          </cell>
          <cell r="D632" t="str">
            <v>True</v>
          </cell>
          <cell r="E632" t="str">
            <v>KOOP</v>
          </cell>
        </row>
        <row r="633">
          <cell r="A633">
            <v>737</v>
          </cell>
          <cell r="D633" t="str">
            <v>False</v>
          </cell>
          <cell r="E633" t="str">
            <v>BOKOSTP</v>
          </cell>
        </row>
        <row r="634">
          <cell r="A634">
            <v>924</v>
          </cell>
          <cell r="D634" t="str">
            <v>False</v>
          </cell>
          <cell r="E634" t="str">
            <v>BOKOSTPREM</v>
          </cell>
        </row>
        <row r="635">
          <cell r="A635">
            <v>556</v>
          </cell>
          <cell r="D635" t="str">
            <v>False</v>
          </cell>
          <cell r="E635" t="str">
            <v>BOKVP</v>
          </cell>
        </row>
        <row r="636">
          <cell r="A636">
            <v>182</v>
          </cell>
          <cell r="D636" t="str">
            <v>True</v>
          </cell>
        </row>
        <row r="637">
          <cell r="A637">
            <v>1227</v>
          </cell>
          <cell r="D637" t="str">
            <v>False</v>
          </cell>
          <cell r="E637" t="str">
            <v>NOFBZPO4</v>
          </cell>
        </row>
        <row r="638">
          <cell r="A638">
            <v>1007</v>
          </cell>
          <cell r="D638" t="str">
            <v>False</v>
          </cell>
          <cell r="E638" t="str">
            <v>NOFFAMFG2</v>
          </cell>
        </row>
        <row r="639">
          <cell r="A639">
            <v>1292</v>
          </cell>
          <cell r="D639" t="str">
            <v>False</v>
          </cell>
          <cell r="E639" t="str">
            <v>NOFFAMFG3</v>
          </cell>
        </row>
        <row r="640">
          <cell r="A640">
            <v>631</v>
          </cell>
          <cell r="D640" t="str">
            <v>False</v>
          </cell>
          <cell r="E640" t="str">
            <v>KUEDIR12</v>
          </cell>
        </row>
        <row r="641">
          <cell r="A641">
            <v>708</v>
          </cell>
          <cell r="D641" t="str">
            <v>False</v>
          </cell>
          <cell r="E641" t="str">
            <v>KUEDIR13</v>
          </cell>
        </row>
        <row r="642">
          <cell r="A642">
            <v>780</v>
          </cell>
          <cell r="D642" t="str">
            <v>False</v>
          </cell>
          <cell r="E642" t="str">
            <v>KUEDIR14</v>
          </cell>
        </row>
        <row r="643">
          <cell r="A643">
            <v>843</v>
          </cell>
          <cell r="D643" t="str">
            <v>False</v>
          </cell>
          <cell r="E643" t="str">
            <v>KUEDIR15</v>
          </cell>
        </row>
        <row r="644">
          <cell r="A644">
            <v>896</v>
          </cell>
          <cell r="D644" t="str">
            <v>False</v>
          </cell>
          <cell r="E644" t="str">
            <v>KUEDIR16</v>
          </cell>
        </row>
        <row r="645">
          <cell r="A645">
            <v>967</v>
          </cell>
          <cell r="D645" t="str">
            <v>False</v>
          </cell>
          <cell r="E645" t="str">
            <v>KUEDIR17</v>
          </cell>
        </row>
        <row r="646">
          <cell r="A646">
            <v>1036</v>
          </cell>
          <cell r="D646" t="str">
            <v>False</v>
          </cell>
          <cell r="E646" t="str">
            <v>KUEDIR18</v>
          </cell>
        </row>
        <row r="647">
          <cell r="A647">
            <v>1086</v>
          </cell>
          <cell r="D647" t="str">
            <v>False</v>
          </cell>
          <cell r="E647" t="str">
            <v>KUEDIR19</v>
          </cell>
        </row>
        <row r="648">
          <cell r="A648">
            <v>1140</v>
          </cell>
          <cell r="D648" t="str">
            <v>False</v>
          </cell>
          <cell r="E648" t="str">
            <v>KUEDIR20</v>
          </cell>
        </row>
        <row r="649">
          <cell r="A649">
            <v>1244</v>
          </cell>
          <cell r="D649" t="str">
            <v>False</v>
          </cell>
          <cell r="E649" t="str">
            <v>KUEDIR21</v>
          </cell>
        </row>
        <row r="650">
          <cell r="A650">
            <v>1204</v>
          </cell>
          <cell r="D650" t="str">
            <v>False</v>
          </cell>
          <cell r="E650" t="str">
            <v>KUEDIR22</v>
          </cell>
        </row>
        <row r="651">
          <cell r="A651">
            <v>1308</v>
          </cell>
          <cell r="D651" t="str">
            <v>False</v>
          </cell>
          <cell r="E651" t="str">
            <v>KUEDIR23</v>
          </cell>
        </row>
        <row r="652">
          <cell r="A652">
            <v>1353</v>
          </cell>
          <cell r="D652" t="str">
            <v>False</v>
          </cell>
          <cell r="E652" t="str">
            <v>KUEDIR24</v>
          </cell>
        </row>
        <row r="653">
          <cell r="A653">
            <v>1403</v>
          </cell>
          <cell r="D653" t="str">
            <v>False</v>
          </cell>
          <cell r="E653" t="str">
            <v>KUEDIR25</v>
          </cell>
        </row>
        <row r="654">
          <cell r="A654">
            <v>296</v>
          </cell>
          <cell r="D654" t="str">
            <v>False</v>
          </cell>
          <cell r="E654" t="str">
            <v>LAND1</v>
          </cell>
        </row>
        <row r="655">
          <cell r="A655">
            <v>274</v>
          </cell>
          <cell r="D655" t="str">
            <v>False</v>
          </cell>
          <cell r="E655" t="str">
            <v>LAND4</v>
          </cell>
        </row>
        <row r="656">
          <cell r="A656">
            <v>1097</v>
          </cell>
          <cell r="D656" t="str">
            <v>False</v>
          </cell>
          <cell r="E656" t="str">
            <v>BOLRBWP</v>
          </cell>
        </row>
        <row r="657">
          <cell r="A657">
            <v>921</v>
          </cell>
          <cell r="D657" t="str">
            <v>False</v>
          </cell>
          <cell r="E657" t="str">
            <v>BOLRBAYP</v>
          </cell>
        </row>
        <row r="658">
          <cell r="A658">
            <v>50</v>
          </cell>
          <cell r="D658" t="str">
            <v>False</v>
          </cell>
          <cell r="E658" t="str">
            <v>LFBP</v>
          </cell>
        </row>
        <row r="659">
          <cell r="A659">
            <v>1104</v>
          </cell>
          <cell r="D659" t="str">
            <v>False</v>
          </cell>
          <cell r="E659" t="str">
            <v>BOLRHESP</v>
          </cell>
        </row>
        <row r="660">
          <cell r="A660">
            <v>1099</v>
          </cell>
          <cell r="D660" t="str">
            <v>False</v>
          </cell>
          <cell r="E660" t="str">
            <v>BOLRNDSP</v>
          </cell>
        </row>
        <row r="661">
          <cell r="A661">
            <v>1100</v>
          </cell>
          <cell r="D661" t="str">
            <v>False</v>
          </cell>
          <cell r="E661" t="str">
            <v>BOLRNRWP</v>
          </cell>
        </row>
        <row r="662">
          <cell r="A662">
            <v>1207</v>
          </cell>
          <cell r="D662" t="str">
            <v>False</v>
          </cell>
          <cell r="E662" t="str">
            <v>BOLAWLP</v>
          </cell>
        </row>
        <row r="663">
          <cell r="A663">
            <v>409</v>
          </cell>
          <cell r="D663" t="str">
            <v>False</v>
          </cell>
          <cell r="E663" t="str">
            <v>BOLMRP</v>
          </cell>
        </row>
        <row r="664">
          <cell r="A664">
            <v>1396</v>
          </cell>
          <cell r="D664" t="str">
            <v>True</v>
          </cell>
          <cell r="E664" t="str">
            <v>LTECHDAT</v>
          </cell>
        </row>
        <row r="665">
          <cell r="A665">
            <v>1122</v>
          </cell>
          <cell r="D665" t="str">
            <v>False</v>
          </cell>
          <cell r="E665" t="str">
            <v>NOFFSLKR</v>
          </cell>
        </row>
        <row r="666">
          <cell r="A666">
            <v>472</v>
          </cell>
          <cell r="D666" t="str">
            <v>False</v>
          </cell>
          <cell r="E666" t="str">
            <v>LKRZDIR</v>
          </cell>
        </row>
        <row r="667">
          <cell r="A667">
            <v>690</v>
          </cell>
          <cell r="D667" t="str">
            <v>False</v>
          </cell>
          <cell r="E667" t="str">
            <v>LKVDIR</v>
          </cell>
        </row>
        <row r="668">
          <cell r="A668">
            <v>493</v>
          </cell>
          <cell r="D668" t="str">
            <v>True</v>
          </cell>
          <cell r="E668" t="str">
            <v>NOLNLAUTOR</v>
          </cell>
        </row>
        <row r="669">
          <cell r="A669">
            <v>239</v>
          </cell>
          <cell r="D669" t="str">
            <v>False</v>
          </cell>
          <cell r="E669" t="str">
            <v>LMRRP</v>
          </cell>
        </row>
        <row r="670">
          <cell r="A670">
            <v>108</v>
          </cell>
          <cell r="D670" t="str">
            <v>False</v>
          </cell>
          <cell r="E670" t="str">
            <v>LMRTP</v>
          </cell>
        </row>
        <row r="671">
          <cell r="A671">
            <v>1151</v>
          </cell>
          <cell r="D671" t="str">
            <v>False</v>
          </cell>
          <cell r="E671" t="str">
            <v>LMRT20</v>
          </cell>
        </row>
        <row r="672">
          <cell r="A672">
            <v>1187</v>
          </cell>
          <cell r="D672" t="str">
            <v>False</v>
          </cell>
          <cell r="E672" t="str">
            <v>LMRT21</v>
          </cell>
        </row>
        <row r="673">
          <cell r="A673">
            <v>1240</v>
          </cell>
          <cell r="D673" t="str">
            <v>False</v>
          </cell>
          <cell r="E673" t="str">
            <v>LMRT22</v>
          </cell>
        </row>
        <row r="674">
          <cell r="A674">
            <v>1290</v>
          </cell>
          <cell r="D674" t="str">
            <v>False</v>
          </cell>
          <cell r="E674" t="str">
            <v>LMRT23</v>
          </cell>
        </row>
        <row r="675">
          <cell r="A675">
            <v>1351</v>
          </cell>
          <cell r="D675" t="str">
            <v>False</v>
          </cell>
          <cell r="E675" t="str">
            <v>LMRT24</v>
          </cell>
        </row>
        <row r="676">
          <cell r="A676">
            <v>1402</v>
          </cell>
          <cell r="D676" t="str">
            <v>False</v>
          </cell>
          <cell r="E676" t="str">
            <v>LMRT25</v>
          </cell>
        </row>
        <row r="677">
          <cell r="A677">
            <v>1476</v>
          </cell>
          <cell r="D677" t="str">
            <v>False</v>
          </cell>
          <cell r="E677" t="str">
            <v>LMRT26</v>
          </cell>
        </row>
        <row r="678">
          <cell r="A678">
            <v>1474</v>
          </cell>
          <cell r="D678" t="str">
            <v>False</v>
          </cell>
          <cell r="E678" t="str">
            <v>LURDIR</v>
          </cell>
        </row>
        <row r="679">
          <cell r="A679">
            <v>58</v>
          </cell>
          <cell r="D679" t="str">
            <v>False</v>
          </cell>
          <cell r="E679" t="str">
            <v>LSKP</v>
          </cell>
        </row>
        <row r="680">
          <cell r="A680">
            <v>1258</v>
          </cell>
          <cell r="D680" t="str">
            <v>False</v>
          </cell>
          <cell r="E680" t="str">
            <v>LTZDIR</v>
          </cell>
        </row>
        <row r="681">
          <cell r="A681">
            <v>989</v>
          </cell>
          <cell r="D681" t="str">
            <v>False</v>
          </cell>
          <cell r="E681" t="str">
            <v>BOMCP</v>
          </cell>
        </row>
        <row r="682">
          <cell r="A682">
            <v>992</v>
          </cell>
          <cell r="D682" t="str">
            <v>False</v>
          </cell>
          <cell r="E682" t="str">
            <v>BOMCPREM</v>
          </cell>
        </row>
        <row r="683">
          <cell r="A683">
            <v>577</v>
          </cell>
          <cell r="D683" t="str">
            <v>False</v>
          </cell>
          <cell r="E683" t="str">
            <v>VAMARP</v>
          </cell>
        </row>
        <row r="684">
          <cell r="A684">
            <v>664</v>
          </cell>
          <cell r="D684" t="str">
            <v>False</v>
          </cell>
          <cell r="E684" t="str">
            <v>MARAR</v>
          </cell>
        </row>
        <row r="685">
          <cell r="A685">
            <v>604</v>
          </cell>
          <cell r="D685" t="str">
            <v>False</v>
          </cell>
          <cell r="E685" t="str">
            <v>VAMCWP</v>
          </cell>
        </row>
        <row r="686">
          <cell r="A686">
            <v>1103</v>
          </cell>
          <cell r="D686" t="str">
            <v>False</v>
          </cell>
          <cell r="E686" t="str">
            <v>NOFAAR4</v>
          </cell>
        </row>
        <row r="687">
          <cell r="A687">
            <v>1226</v>
          </cell>
          <cell r="D687" t="str">
            <v>False</v>
          </cell>
          <cell r="E687" t="str">
            <v>NOHBTV5</v>
          </cell>
        </row>
        <row r="688">
          <cell r="A688">
            <v>1219</v>
          </cell>
          <cell r="D688" t="str">
            <v>False</v>
          </cell>
          <cell r="E688" t="str">
            <v>BOMGROPT</v>
          </cell>
        </row>
        <row r="689">
          <cell r="A689">
            <v>410</v>
          </cell>
          <cell r="D689" t="str">
            <v>False</v>
          </cell>
          <cell r="E689" t="str">
            <v>BOMGRP</v>
          </cell>
        </row>
        <row r="690">
          <cell r="A690">
            <v>864</v>
          </cell>
          <cell r="D690" t="str">
            <v>False</v>
          </cell>
          <cell r="E690" t="str">
            <v>BOMGRPREM</v>
          </cell>
        </row>
        <row r="691">
          <cell r="A691">
            <v>484</v>
          </cell>
          <cell r="D691" t="str">
            <v>False</v>
          </cell>
          <cell r="E691" t="str">
            <v>EMMEDRP</v>
          </cell>
        </row>
        <row r="692">
          <cell r="A692">
            <v>1171</v>
          </cell>
          <cell r="D692" t="str">
            <v>False</v>
          </cell>
          <cell r="E692" t="str">
            <v>NOFKSR2</v>
          </cell>
        </row>
        <row r="693">
          <cell r="A693">
            <v>1028</v>
          </cell>
          <cell r="D693" t="str">
            <v>False</v>
          </cell>
          <cell r="E693" t="str">
            <v>NOFOFAMR4</v>
          </cell>
        </row>
        <row r="694">
          <cell r="A694">
            <v>272</v>
          </cell>
          <cell r="D694" t="str">
            <v>False</v>
          </cell>
          <cell r="E694" t="str">
            <v>AWMW</v>
          </cell>
        </row>
        <row r="695">
          <cell r="A695">
            <v>657</v>
          </cell>
          <cell r="D695" t="str">
            <v>False</v>
          </cell>
          <cell r="E695" t="str">
            <v>FJAMW</v>
          </cell>
        </row>
        <row r="696">
          <cell r="A696">
            <v>919</v>
          </cell>
          <cell r="D696" t="str">
            <v>False</v>
          </cell>
          <cell r="E696" t="str">
            <v>LHMR</v>
          </cell>
        </row>
        <row r="697">
          <cell r="A697">
            <v>52</v>
          </cell>
          <cell r="D697" t="str">
            <v>False</v>
          </cell>
          <cell r="E697" t="str">
            <v>BOMWP</v>
          </cell>
        </row>
        <row r="698">
          <cell r="A698">
            <v>481</v>
          </cell>
          <cell r="D698" t="str">
            <v>False</v>
          </cell>
          <cell r="E698" t="str">
            <v>BOMWPREM</v>
          </cell>
        </row>
        <row r="699">
          <cell r="A699">
            <v>1366</v>
          </cell>
          <cell r="D699" t="str">
            <v>False</v>
          </cell>
          <cell r="E699" t="str">
            <v>BOMBRP</v>
          </cell>
        </row>
        <row r="700">
          <cell r="A700">
            <v>1200</v>
          </cell>
          <cell r="D700" t="str">
            <v>False</v>
          </cell>
          <cell r="E700" t="str">
            <v>MMRP</v>
          </cell>
        </row>
        <row r="701">
          <cell r="A701">
            <v>1375</v>
          </cell>
          <cell r="D701" t="str">
            <v>True</v>
          </cell>
          <cell r="E701" t="str">
            <v>MMRAPP</v>
          </cell>
        </row>
        <row r="702">
          <cell r="A702">
            <v>889</v>
          </cell>
          <cell r="D702" t="str">
            <v>False</v>
          </cell>
          <cell r="E702" t="str">
            <v>MMRDIR</v>
          </cell>
        </row>
        <row r="703">
          <cell r="A703">
            <v>1073</v>
          </cell>
          <cell r="D703" t="str">
            <v>True</v>
          </cell>
          <cell r="E703" t="str">
            <v>MOHRSIEBECK</v>
          </cell>
        </row>
        <row r="704">
          <cell r="A704">
            <v>828</v>
          </cell>
          <cell r="D704" t="str">
            <v>False</v>
          </cell>
          <cell r="E704" t="str">
            <v>MPRDIR</v>
          </cell>
        </row>
        <row r="705">
          <cell r="A705">
            <v>45</v>
          </cell>
          <cell r="D705" t="str">
            <v>True</v>
          </cell>
        </row>
        <row r="706">
          <cell r="A706">
            <v>632</v>
          </cell>
          <cell r="D706" t="str">
            <v>True</v>
          </cell>
        </row>
        <row r="707">
          <cell r="A707">
            <v>938</v>
          </cell>
          <cell r="D707" t="str">
            <v>True</v>
          </cell>
          <cell r="E707" t="str">
            <v>MUEKOKARTR-AUTOR</v>
          </cell>
        </row>
        <row r="708">
          <cell r="A708">
            <v>281</v>
          </cell>
          <cell r="D708" t="str">
            <v>True</v>
          </cell>
          <cell r="E708" t="str">
            <v>MVHKOMPLETT</v>
          </cell>
        </row>
        <row r="709">
          <cell r="A709">
            <v>592</v>
          </cell>
          <cell r="D709" t="str">
            <v>True</v>
          </cell>
          <cell r="E709" t="str">
            <v>MVH-CD</v>
          </cell>
        </row>
        <row r="710">
          <cell r="A710">
            <v>280</v>
          </cell>
          <cell r="D710" t="str">
            <v>False</v>
          </cell>
          <cell r="E710" t="str">
            <v>MVHCD1</v>
          </cell>
        </row>
        <row r="711">
          <cell r="A711">
            <v>1074</v>
          </cell>
          <cell r="D711" t="str">
            <v>True</v>
          </cell>
          <cell r="E711" t="str">
            <v>MUSTEREINSPR-AUTOR</v>
          </cell>
        </row>
        <row r="712">
          <cell r="A712">
            <v>689</v>
          </cell>
          <cell r="D712" t="str">
            <v>False</v>
          </cell>
          <cell r="E712" t="str">
            <v>MWSTRO</v>
          </cell>
        </row>
        <row r="713">
          <cell r="A713">
            <v>882</v>
          </cell>
          <cell r="D713" t="str">
            <v>False</v>
          </cell>
          <cell r="E713" t="str">
            <v>NURP</v>
          </cell>
        </row>
        <row r="714">
          <cell r="A714">
            <v>1153</v>
          </cell>
          <cell r="D714" t="str">
            <v>False</v>
          </cell>
          <cell r="E714" t="str">
            <v>NDBDIGT</v>
          </cell>
        </row>
        <row r="715">
          <cell r="A715">
            <v>776</v>
          </cell>
          <cell r="D715" t="str">
            <v>True</v>
          </cell>
          <cell r="E715" t="str">
            <v>NDCCZ</v>
          </cell>
        </row>
        <row r="716">
          <cell r="A716">
            <v>1409</v>
          </cell>
          <cell r="D716" t="str">
            <v>False</v>
          </cell>
          <cell r="E716" t="str">
            <v>NDENKA</v>
          </cell>
        </row>
        <row r="717">
          <cell r="A717">
            <v>510</v>
          </cell>
          <cell r="D717" t="str">
            <v>False</v>
          </cell>
          <cell r="E717" t="str">
            <v>NDMMR</v>
          </cell>
        </row>
        <row r="718">
          <cell r="A718">
            <v>618</v>
          </cell>
          <cell r="D718" t="str">
            <v>False</v>
          </cell>
          <cell r="E718" t="str">
            <v>NDNZWIST</v>
          </cell>
        </row>
        <row r="719">
          <cell r="A719">
            <v>597</v>
          </cell>
          <cell r="D719" t="str">
            <v>False</v>
          </cell>
          <cell r="E719" t="str">
            <v>NDZD</v>
          </cell>
        </row>
        <row r="720">
          <cell r="A720">
            <v>947</v>
          </cell>
          <cell r="D720" t="str">
            <v>False</v>
          </cell>
          <cell r="E720" t="str">
            <v>NLPEPS</v>
          </cell>
        </row>
        <row r="721">
          <cell r="A721">
            <v>60</v>
          </cell>
          <cell r="D721" t="str">
            <v>False</v>
          </cell>
          <cell r="E721" t="str">
            <v>NIP</v>
          </cell>
        </row>
        <row r="722">
          <cell r="A722">
            <v>672</v>
          </cell>
          <cell r="D722" t="str">
            <v>False</v>
          </cell>
          <cell r="E722" t="str">
            <v>NIP100</v>
          </cell>
        </row>
        <row r="723">
          <cell r="A723">
            <v>677</v>
          </cell>
          <cell r="D723" t="str">
            <v>False</v>
          </cell>
          <cell r="E723" t="str">
            <v>NIP101</v>
          </cell>
        </row>
        <row r="724">
          <cell r="A724">
            <v>698</v>
          </cell>
          <cell r="D724" t="str">
            <v>False</v>
          </cell>
          <cell r="E724" t="str">
            <v>NIP102</v>
          </cell>
        </row>
        <row r="725">
          <cell r="A725">
            <v>699</v>
          </cell>
          <cell r="D725" t="str">
            <v>False</v>
          </cell>
          <cell r="E725" t="str">
            <v>NIP103</v>
          </cell>
        </row>
        <row r="726">
          <cell r="A726">
            <v>700</v>
          </cell>
          <cell r="D726" t="str">
            <v>False</v>
          </cell>
          <cell r="E726" t="str">
            <v>NIP104</v>
          </cell>
        </row>
        <row r="727">
          <cell r="A727">
            <v>701</v>
          </cell>
          <cell r="D727" t="str">
            <v>False</v>
          </cell>
          <cell r="E727" t="str">
            <v>NIP105</v>
          </cell>
        </row>
        <row r="728">
          <cell r="A728">
            <v>784</v>
          </cell>
          <cell r="D728" t="str">
            <v>False</v>
          </cell>
          <cell r="E728" t="str">
            <v>NIP106</v>
          </cell>
        </row>
        <row r="729">
          <cell r="A729">
            <v>785</v>
          </cell>
          <cell r="D729" t="str">
            <v>False</v>
          </cell>
          <cell r="E729" t="str">
            <v>NIP107</v>
          </cell>
        </row>
        <row r="730">
          <cell r="A730">
            <v>786</v>
          </cell>
          <cell r="D730" t="str">
            <v>False</v>
          </cell>
          <cell r="E730" t="str">
            <v>NIP108</v>
          </cell>
        </row>
        <row r="731">
          <cell r="A731">
            <v>787</v>
          </cell>
          <cell r="D731" t="str">
            <v>False</v>
          </cell>
          <cell r="E731" t="str">
            <v>NIP109</v>
          </cell>
        </row>
        <row r="732">
          <cell r="A732">
            <v>837</v>
          </cell>
          <cell r="D732" t="str">
            <v>False</v>
          </cell>
          <cell r="E732" t="str">
            <v>NIP110</v>
          </cell>
        </row>
        <row r="733">
          <cell r="A733">
            <v>838</v>
          </cell>
          <cell r="D733" t="str">
            <v>False</v>
          </cell>
          <cell r="E733" t="str">
            <v>NIP111</v>
          </cell>
        </row>
        <row r="734">
          <cell r="A734">
            <v>839</v>
          </cell>
          <cell r="D734" t="str">
            <v>False</v>
          </cell>
          <cell r="E734" t="str">
            <v>NIP112</v>
          </cell>
        </row>
        <row r="735">
          <cell r="A735">
            <v>840</v>
          </cell>
          <cell r="D735" t="str">
            <v>False</v>
          </cell>
          <cell r="E735" t="str">
            <v>NIP113</v>
          </cell>
        </row>
        <row r="736">
          <cell r="A736">
            <v>899</v>
          </cell>
          <cell r="D736" t="str">
            <v>False</v>
          </cell>
          <cell r="E736" t="str">
            <v>NIP114</v>
          </cell>
        </row>
        <row r="737">
          <cell r="A737">
            <v>900</v>
          </cell>
          <cell r="D737" t="str">
            <v>False</v>
          </cell>
          <cell r="E737" t="str">
            <v>NIP115</v>
          </cell>
        </row>
        <row r="738">
          <cell r="A738">
            <v>901</v>
          </cell>
          <cell r="D738" t="str">
            <v>False</v>
          </cell>
          <cell r="E738" t="str">
            <v>NIP116</v>
          </cell>
        </row>
        <row r="739">
          <cell r="A739">
            <v>902</v>
          </cell>
          <cell r="D739" t="str">
            <v>False</v>
          </cell>
          <cell r="E739" t="str">
            <v>NIP117</v>
          </cell>
        </row>
        <row r="740">
          <cell r="A740">
            <v>675</v>
          </cell>
          <cell r="D740" t="str">
            <v>False</v>
          </cell>
          <cell r="E740" t="str">
            <v>NONJO</v>
          </cell>
        </row>
        <row r="741">
          <cell r="A741">
            <v>372</v>
          </cell>
          <cell r="D741" t="str">
            <v>True</v>
          </cell>
          <cell r="E741" t="str">
            <v>NJWDVDP</v>
          </cell>
        </row>
        <row r="742">
          <cell r="A742">
            <v>741</v>
          </cell>
          <cell r="D742" t="str">
            <v>True</v>
          </cell>
          <cell r="E742" t="str">
            <v>NJWALP</v>
          </cell>
        </row>
        <row r="743">
          <cell r="A743">
            <v>13</v>
          </cell>
          <cell r="D743" t="str">
            <v>False</v>
          </cell>
          <cell r="E743" t="str">
            <v>NJWP</v>
          </cell>
        </row>
        <row r="744">
          <cell r="A744">
            <v>777</v>
          </cell>
          <cell r="D744" t="str">
            <v>True</v>
          </cell>
          <cell r="E744" t="str">
            <v>NJWAPP</v>
          </cell>
        </row>
        <row r="745">
          <cell r="A745">
            <v>347</v>
          </cell>
          <cell r="D745" t="str">
            <v>False</v>
          </cell>
          <cell r="E745" t="str">
            <v>NJWDIR</v>
          </cell>
        </row>
        <row r="746">
          <cell r="A746">
            <v>1179</v>
          </cell>
          <cell r="D746" t="str">
            <v>False</v>
          </cell>
          <cell r="E746" t="str">
            <v>NJWRRDIR</v>
          </cell>
        </row>
        <row r="747">
          <cell r="A747">
            <v>798</v>
          </cell>
          <cell r="D747" t="str">
            <v>True</v>
          </cell>
          <cell r="E747" t="str">
            <v>NKAKTIENR</v>
          </cell>
        </row>
        <row r="748">
          <cell r="A748">
            <v>966</v>
          </cell>
          <cell r="D748" t="str">
            <v>True</v>
          </cell>
          <cell r="E748" t="str">
            <v>NOBAUGB-AUTOR</v>
          </cell>
        </row>
        <row r="749">
          <cell r="A749">
            <v>713</v>
          </cell>
          <cell r="D749" t="str">
            <v>True</v>
          </cell>
          <cell r="E749" t="str">
            <v>NKBGB</v>
          </cell>
        </row>
        <row r="750">
          <cell r="A750">
            <v>1076</v>
          </cell>
          <cell r="D750" t="str">
            <v>False</v>
          </cell>
          <cell r="E750" t="str">
            <v>NOKONKBGB3</v>
          </cell>
        </row>
        <row r="751">
          <cell r="A751">
            <v>1407</v>
          </cell>
          <cell r="D751" t="str">
            <v>False</v>
          </cell>
          <cell r="E751" t="str">
            <v>NOKONKBGB4</v>
          </cell>
        </row>
        <row r="752">
          <cell r="A752">
            <v>775</v>
          </cell>
          <cell r="D752" t="str">
            <v>False</v>
          </cell>
          <cell r="E752" t="str">
            <v>NOKONKBGB</v>
          </cell>
        </row>
        <row r="753">
          <cell r="A753">
            <v>965</v>
          </cell>
          <cell r="D753" t="str">
            <v>True</v>
          </cell>
          <cell r="E753" t="str">
            <v>NOKOPTR-AUTOR</v>
          </cell>
        </row>
        <row r="754">
          <cell r="A754">
            <v>1479</v>
          </cell>
          <cell r="D754" t="str">
            <v>True</v>
          </cell>
          <cell r="E754" t="str">
            <v>NK-PFLVERS-AUTOR</v>
          </cell>
        </row>
        <row r="755">
          <cell r="A755">
            <v>830</v>
          </cell>
          <cell r="D755" t="str">
            <v>True</v>
          </cell>
          <cell r="E755" t="str">
            <v>NKSTPO</v>
          </cell>
        </row>
        <row r="756">
          <cell r="A756">
            <v>1038</v>
          </cell>
          <cell r="D756" t="str">
            <v>False</v>
          </cell>
          <cell r="E756" t="str">
            <v>NLMRP</v>
          </cell>
        </row>
        <row r="757">
          <cell r="A757">
            <v>1282</v>
          </cell>
          <cell r="D757" t="str">
            <v>False</v>
          </cell>
          <cell r="E757" t="str">
            <v>NOKOGKSRB</v>
          </cell>
        </row>
        <row r="758">
          <cell r="A758">
            <v>891</v>
          </cell>
          <cell r="D758" t="str">
            <v>False</v>
          </cell>
          <cell r="E758" t="str">
            <v>NOKOBLMJR</v>
          </cell>
        </row>
        <row r="759">
          <cell r="A759">
            <v>912</v>
          </cell>
          <cell r="D759" t="str">
            <v>False</v>
          </cell>
          <cell r="E759" t="str">
            <v>NOKOEBR</v>
          </cell>
        </row>
        <row r="760">
          <cell r="A760">
            <v>1326</v>
          </cell>
          <cell r="D760" t="str">
            <v>False</v>
          </cell>
          <cell r="E760" t="str">
            <v>NOKOZPO</v>
          </cell>
        </row>
        <row r="761">
          <cell r="A761">
            <v>1416</v>
          </cell>
          <cell r="D761" t="str">
            <v>True</v>
          </cell>
          <cell r="E761" t="str">
            <v>NOMEDR-AUTOR</v>
          </cell>
        </row>
        <row r="762">
          <cell r="A762">
            <v>1289</v>
          </cell>
          <cell r="D762" t="str">
            <v>False</v>
          </cell>
          <cell r="E762" t="str">
            <v>NOKOSKAR</v>
          </cell>
        </row>
        <row r="763">
          <cell r="A763">
            <v>1315</v>
          </cell>
          <cell r="D763" t="str">
            <v>False</v>
          </cell>
          <cell r="E763" t="str">
            <v>NOKOSKLT</v>
          </cell>
        </row>
        <row r="764">
          <cell r="A764">
            <v>1165</v>
          </cell>
          <cell r="D764" t="str">
            <v>False</v>
          </cell>
          <cell r="E764" t="str">
            <v>NOIWRZ</v>
          </cell>
        </row>
        <row r="765">
          <cell r="A765">
            <v>398</v>
          </cell>
          <cell r="D765" t="str">
            <v>False</v>
          </cell>
          <cell r="E765" t="str">
            <v>BONOAW</v>
          </cell>
        </row>
        <row r="766">
          <cell r="A766">
            <v>742</v>
          </cell>
          <cell r="D766" t="str">
            <v>False</v>
          </cell>
          <cell r="E766" t="str">
            <v>BONOAWARB</v>
          </cell>
        </row>
        <row r="767">
          <cell r="A767">
            <v>743</v>
          </cell>
          <cell r="D767" t="str">
            <v>False</v>
          </cell>
          <cell r="E767" t="str">
            <v>BONOAWERB</v>
          </cell>
        </row>
        <row r="768">
          <cell r="A768">
            <v>744</v>
          </cell>
          <cell r="D768" t="str">
            <v>False</v>
          </cell>
          <cell r="E768" t="str">
            <v>BONOAWFAM</v>
          </cell>
        </row>
        <row r="769">
          <cell r="A769">
            <v>745</v>
          </cell>
          <cell r="D769" t="str">
            <v>False</v>
          </cell>
          <cell r="E769" t="str">
            <v>BONOAWHGR</v>
          </cell>
        </row>
        <row r="770">
          <cell r="A770">
            <v>763</v>
          </cell>
          <cell r="D770" t="str">
            <v>False</v>
          </cell>
          <cell r="E770" t="str">
            <v>BONOAWMW</v>
          </cell>
        </row>
        <row r="771">
          <cell r="A771">
            <v>746</v>
          </cell>
          <cell r="D771" t="str">
            <v>False</v>
          </cell>
          <cell r="E771" t="str">
            <v>BONOAWSOZ</v>
          </cell>
        </row>
        <row r="772">
          <cell r="A772">
            <v>747</v>
          </cell>
          <cell r="D772" t="str">
            <v>False</v>
          </cell>
          <cell r="E772" t="str">
            <v>BONOAWST</v>
          </cell>
        </row>
        <row r="773">
          <cell r="A773">
            <v>761</v>
          </cell>
          <cell r="D773" t="str">
            <v>False</v>
          </cell>
          <cell r="E773" t="str">
            <v>BONOAWVKR</v>
          </cell>
        </row>
        <row r="774">
          <cell r="A774">
            <v>764</v>
          </cell>
          <cell r="D774" t="str">
            <v>False</v>
          </cell>
          <cell r="E774" t="str">
            <v>BONOAWVW</v>
          </cell>
        </row>
        <row r="775">
          <cell r="A775">
            <v>522</v>
          </cell>
          <cell r="D775" t="str">
            <v>False</v>
          </cell>
          <cell r="E775" t="str">
            <v>NOAWARB</v>
          </cell>
        </row>
        <row r="776">
          <cell r="A776">
            <v>536</v>
          </cell>
          <cell r="D776" t="str">
            <v>False</v>
          </cell>
          <cell r="E776" t="str">
            <v>NOAWAUSLR</v>
          </cell>
        </row>
        <row r="777">
          <cell r="A777">
            <v>523</v>
          </cell>
          <cell r="D777" t="str">
            <v>False</v>
          </cell>
          <cell r="E777" t="str">
            <v>NOAWBETRVG</v>
          </cell>
        </row>
        <row r="778">
          <cell r="A778">
            <v>527</v>
          </cell>
          <cell r="D778" t="str">
            <v>False</v>
          </cell>
          <cell r="E778" t="str">
            <v>NOAWFAMGKG</v>
          </cell>
        </row>
        <row r="779">
          <cell r="A779">
            <v>525</v>
          </cell>
          <cell r="D779" t="str">
            <v>False</v>
          </cell>
          <cell r="E779" t="str">
            <v>NOAWFAM</v>
          </cell>
        </row>
        <row r="780">
          <cell r="A780">
            <v>526</v>
          </cell>
          <cell r="D780" t="str">
            <v>False</v>
          </cell>
          <cell r="E780" t="str">
            <v>NOAWFAMFR</v>
          </cell>
        </row>
        <row r="781">
          <cell r="A781">
            <v>532</v>
          </cell>
          <cell r="D781" t="str">
            <v>False</v>
          </cell>
          <cell r="E781" t="str">
            <v>NOAWZV</v>
          </cell>
        </row>
        <row r="782">
          <cell r="A782">
            <v>533</v>
          </cell>
          <cell r="D782" t="str">
            <v>False</v>
          </cell>
          <cell r="E782" t="str">
            <v>NOAWGST</v>
          </cell>
        </row>
        <row r="783">
          <cell r="A783">
            <v>528</v>
          </cell>
          <cell r="D783" t="str">
            <v>False</v>
          </cell>
          <cell r="E783" t="str">
            <v>NOAWGMBH</v>
          </cell>
        </row>
        <row r="784">
          <cell r="A784">
            <v>529</v>
          </cell>
          <cell r="D784" t="str">
            <v>False</v>
          </cell>
          <cell r="E784" t="str">
            <v>NOAWHGB</v>
          </cell>
        </row>
        <row r="785">
          <cell r="A785">
            <v>524</v>
          </cell>
          <cell r="D785" t="str">
            <v>False</v>
          </cell>
          <cell r="E785" t="str">
            <v>NOAWPFLTR</v>
          </cell>
        </row>
        <row r="786">
          <cell r="A786">
            <v>537</v>
          </cell>
          <cell r="D786" t="str">
            <v>False</v>
          </cell>
          <cell r="E786" t="str">
            <v>NOAWSGBII</v>
          </cell>
        </row>
        <row r="787">
          <cell r="A787">
            <v>538</v>
          </cell>
          <cell r="D787" t="str">
            <v>False</v>
          </cell>
          <cell r="E787" t="str">
            <v>NOAWSGBIII</v>
          </cell>
        </row>
        <row r="788">
          <cell r="A788">
            <v>539</v>
          </cell>
          <cell r="D788" t="str">
            <v>False</v>
          </cell>
          <cell r="E788" t="str">
            <v>NOAWSGBXII</v>
          </cell>
        </row>
        <row r="789">
          <cell r="A789">
            <v>535</v>
          </cell>
          <cell r="D789" t="str">
            <v>False</v>
          </cell>
          <cell r="E789" t="str">
            <v>NOAWSTGB</v>
          </cell>
        </row>
        <row r="790">
          <cell r="A790">
            <v>530</v>
          </cell>
          <cell r="D790" t="str">
            <v>False</v>
          </cell>
          <cell r="E790" t="str">
            <v>NOAWUWG</v>
          </cell>
        </row>
        <row r="791">
          <cell r="A791">
            <v>534</v>
          </cell>
          <cell r="D791" t="str">
            <v>False</v>
          </cell>
          <cell r="E791" t="str">
            <v>NOAWVWR</v>
          </cell>
        </row>
        <row r="792">
          <cell r="A792">
            <v>531</v>
          </cell>
          <cell r="D792" t="str">
            <v>False</v>
          </cell>
          <cell r="E792" t="str">
            <v>NOAWVVG</v>
          </cell>
        </row>
        <row r="793">
          <cell r="A793">
            <v>850</v>
          </cell>
          <cell r="D793" t="str">
            <v>False</v>
          </cell>
          <cell r="E793" t="str">
            <v>NOAWPREM</v>
          </cell>
        </row>
        <row r="794">
          <cell r="A794">
            <v>553</v>
          </cell>
          <cell r="D794" t="str">
            <v>False</v>
          </cell>
          <cell r="E794" t="str">
            <v>BONOAM</v>
          </cell>
        </row>
        <row r="795">
          <cell r="A795">
            <v>300</v>
          </cell>
          <cell r="D795" t="str">
            <v>False</v>
          </cell>
          <cell r="E795" t="str">
            <v>BONOARB</v>
          </cell>
        </row>
        <row r="796">
          <cell r="A796">
            <v>815</v>
          </cell>
          <cell r="D796" t="str">
            <v>True</v>
          </cell>
          <cell r="E796" t="str">
            <v>NOARB</v>
          </cell>
        </row>
        <row r="797">
          <cell r="A797">
            <v>67</v>
          </cell>
          <cell r="D797" t="str">
            <v>False</v>
          </cell>
          <cell r="E797" t="str">
            <v>DBRP</v>
          </cell>
        </row>
        <row r="798">
          <cell r="A798">
            <v>1372</v>
          </cell>
          <cell r="D798" t="str">
            <v>False</v>
          </cell>
          <cell r="E798" t="str">
            <v>BONODS</v>
          </cell>
        </row>
        <row r="799">
          <cell r="A799">
            <v>1442</v>
          </cell>
          <cell r="D799" t="str">
            <v>False</v>
          </cell>
          <cell r="E799" t="str">
            <v>NOKODKDS</v>
          </cell>
        </row>
        <row r="800">
          <cell r="A800">
            <v>1265</v>
          </cell>
          <cell r="D800" t="str">
            <v>False</v>
          </cell>
          <cell r="E800" t="str">
            <v>BONOERB</v>
          </cell>
        </row>
        <row r="801">
          <cell r="A801">
            <v>568</v>
          </cell>
          <cell r="D801" t="str">
            <v>False</v>
          </cell>
          <cell r="E801" t="str">
            <v>BONOEX</v>
          </cell>
        </row>
        <row r="802">
          <cell r="A802">
            <v>519</v>
          </cell>
          <cell r="D802" t="str">
            <v>False</v>
          </cell>
          <cell r="E802" t="str">
            <v>BONOFAM</v>
          </cell>
        </row>
        <row r="803">
          <cell r="A803">
            <v>769</v>
          </cell>
          <cell r="D803" t="str">
            <v>False</v>
          </cell>
          <cell r="E803" t="str">
            <v>NOFORM</v>
          </cell>
        </row>
        <row r="804">
          <cell r="A804">
            <v>1365</v>
          </cell>
          <cell r="D804" t="str">
            <v>False</v>
          </cell>
          <cell r="E804" t="str">
            <v>NOKOBAUGB</v>
          </cell>
        </row>
        <row r="805">
          <cell r="A805">
            <v>1364</v>
          </cell>
          <cell r="D805" t="str">
            <v>False</v>
          </cell>
          <cell r="E805" t="str">
            <v>NOKOBAUNVO</v>
          </cell>
        </row>
        <row r="806">
          <cell r="A806">
            <v>616</v>
          </cell>
          <cell r="D806" t="str">
            <v>False</v>
          </cell>
          <cell r="E806" t="str">
            <v>BONOKOSP</v>
          </cell>
        </row>
        <row r="807">
          <cell r="A807">
            <v>1037</v>
          </cell>
          <cell r="D807" t="str">
            <v>False</v>
          </cell>
          <cell r="E807" t="str">
            <v>BONOKOMJUR</v>
          </cell>
        </row>
        <row r="808">
          <cell r="A808">
            <v>505</v>
          </cell>
          <cell r="D808" t="str">
            <v>False</v>
          </cell>
          <cell r="E808" t="str">
            <v>NOKOMMZ</v>
          </cell>
        </row>
        <row r="809">
          <cell r="A809">
            <v>1451</v>
          </cell>
          <cell r="D809" t="str">
            <v>False</v>
          </cell>
          <cell r="E809" t="str">
            <v>BONOPPR</v>
          </cell>
        </row>
        <row r="810">
          <cell r="A810">
            <v>570</v>
          </cell>
          <cell r="D810" t="str">
            <v>False</v>
          </cell>
          <cell r="E810" t="str">
            <v>BONOPREM</v>
          </cell>
        </row>
        <row r="811">
          <cell r="A811">
            <v>1264</v>
          </cell>
          <cell r="D811" t="str">
            <v>False</v>
          </cell>
          <cell r="E811" t="str">
            <v>BONOPRCPL</v>
          </cell>
        </row>
        <row r="812">
          <cell r="A812">
            <v>1450</v>
          </cell>
          <cell r="D812" t="str">
            <v>False</v>
          </cell>
          <cell r="E812" t="str">
            <v>BONORBM</v>
          </cell>
        </row>
        <row r="813">
          <cell r="A813">
            <v>1262</v>
          </cell>
          <cell r="D813" t="str">
            <v>False</v>
          </cell>
          <cell r="E813" t="str">
            <v>BONOSOZAR</v>
          </cell>
        </row>
        <row r="814">
          <cell r="A814">
            <v>401</v>
          </cell>
          <cell r="D814" t="str">
            <v>False</v>
          </cell>
          <cell r="E814" t="str">
            <v>BONOSOZ</v>
          </cell>
        </row>
        <row r="815">
          <cell r="A815">
            <v>579</v>
          </cell>
          <cell r="D815" t="str">
            <v>False</v>
          </cell>
          <cell r="E815" t="str">
            <v>BONOSRB</v>
          </cell>
        </row>
        <row r="816">
          <cell r="A816">
            <v>1279</v>
          </cell>
          <cell r="D816" t="str">
            <v>False</v>
          </cell>
          <cell r="E816" t="str">
            <v>BONOST</v>
          </cell>
        </row>
        <row r="817">
          <cell r="A817">
            <v>802</v>
          </cell>
          <cell r="D817" t="str">
            <v>False</v>
          </cell>
          <cell r="E817" t="str">
            <v>BONOVW</v>
          </cell>
        </row>
        <row r="818">
          <cell r="A818">
            <v>476</v>
          </cell>
          <cell r="D818" t="str">
            <v>False</v>
          </cell>
          <cell r="E818" t="str">
            <v>NORDÖR</v>
          </cell>
        </row>
        <row r="819">
          <cell r="A819">
            <v>691</v>
          </cell>
          <cell r="D819" t="str">
            <v>False</v>
          </cell>
          <cell r="E819" t="str">
            <v>NORDOERDIR</v>
          </cell>
        </row>
        <row r="820">
          <cell r="A820">
            <v>1277</v>
          </cell>
          <cell r="D820" t="str">
            <v>False</v>
          </cell>
          <cell r="E820" t="str">
            <v>BONOTOPT</v>
          </cell>
        </row>
        <row r="821">
          <cell r="A821">
            <v>103</v>
          </cell>
          <cell r="D821" t="str">
            <v>False</v>
          </cell>
          <cell r="E821" t="str">
            <v>BONOTP</v>
          </cell>
        </row>
        <row r="822">
          <cell r="A822">
            <v>1042</v>
          </cell>
          <cell r="D822" t="str">
            <v>False</v>
          </cell>
          <cell r="E822" t="str">
            <v>BONOTPREM</v>
          </cell>
        </row>
        <row r="823">
          <cell r="A823">
            <v>872</v>
          </cell>
          <cell r="D823" t="str">
            <v>False</v>
          </cell>
          <cell r="E823" t="str">
            <v>NPORDIR</v>
          </cell>
        </row>
        <row r="824">
          <cell r="A824">
            <v>269</v>
          </cell>
          <cell r="D824" t="str">
            <v>True</v>
          </cell>
          <cell r="E824" t="str">
            <v>NSTZCDP</v>
          </cell>
        </row>
        <row r="825">
          <cell r="A825">
            <v>767</v>
          </cell>
          <cell r="D825" t="str">
            <v>False</v>
          </cell>
          <cell r="E825" t="str">
            <v>NSTZP</v>
          </cell>
        </row>
        <row r="826">
          <cell r="A826">
            <v>16</v>
          </cell>
          <cell r="D826" t="str">
            <v>False</v>
          </cell>
          <cell r="E826" t="str">
            <v>NSTZNZVP</v>
          </cell>
        </row>
        <row r="827">
          <cell r="A827">
            <v>1178</v>
          </cell>
          <cell r="D827" t="str">
            <v>False</v>
          </cell>
          <cell r="E827" t="str">
            <v>NSTZDIR</v>
          </cell>
        </row>
        <row r="828">
          <cell r="A828">
            <v>24</v>
          </cell>
          <cell r="D828" t="str">
            <v>False</v>
          </cell>
          <cell r="E828" t="str">
            <v>NVZP</v>
          </cell>
        </row>
        <row r="829">
          <cell r="A829">
            <v>15</v>
          </cell>
          <cell r="D829" t="str">
            <v>False</v>
          </cell>
          <cell r="E829" t="str">
            <v>NVWZP</v>
          </cell>
        </row>
        <row r="830">
          <cell r="A830">
            <v>1446</v>
          </cell>
          <cell r="D830" t="str">
            <v>True</v>
          </cell>
          <cell r="E830" t="str">
            <v>NVWZAPP</v>
          </cell>
        </row>
        <row r="831">
          <cell r="A831">
            <v>1177</v>
          </cell>
          <cell r="D831" t="str">
            <v>False</v>
          </cell>
          <cell r="E831" t="str">
            <v>NVWZDIR</v>
          </cell>
        </row>
        <row r="832">
          <cell r="A832">
            <v>1191</v>
          </cell>
          <cell r="D832" t="str">
            <v>False</v>
          </cell>
          <cell r="E832" t="str">
            <v>NVWZMRRDIR</v>
          </cell>
        </row>
        <row r="833">
          <cell r="A833">
            <v>14</v>
          </cell>
          <cell r="D833" t="str">
            <v>False</v>
          </cell>
          <cell r="E833" t="str">
            <v>NZANZSP</v>
          </cell>
        </row>
        <row r="834">
          <cell r="A834">
            <v>1445</v>
          </cell>
          <cell r="D834" t="str">
            <v>True</v>
          </cell>
          <cell r="E834" t="str">
            <v>NZAAPP</v>
          </cell>
        </row>
        <row r="835">
          <cell r="A835">
            <v>1128</v>
          </cell>
          <cell r="D835" t="str">
            <v>False</v>
          </cell>
          <cell r="E835" t="str">
            <v>NZADIR</v>
          </cell>
        </row>
        <row r="836">
          <cell r="A836">
            <v>1087</v>
          </cell>
          <cell r="D836" t="str">
            <v>False</v>
          </cell>
          <cell r="E836" t="str">
            <v>NZARRDIR</v>
          </cell>
        </row>
        <row r="837">
          <cell r="A837">
            <v>469</v>
          </cell>
          <cell r="D837" t="str">
            <v>False</v>
          </cell>
          <cell r="E837" t="str">
            <v>NZBZFBRP</v>
          </cell>
        </row>
        <row r="838">
          <cell r="A838">
            <v>771</v>
          </cell>
          <cell r="D838" t="str">
            <v>False</v>
          </cell>
          <cell r="E838" t="str">
            <v>NZFAMO</v>
          </cell>
        </row>
        <row r="839">
          <cell r="A839">
            <v>1189</v>
          </cell>
          <cell r="D839" t="str">
            <v>False</v>
          </cell>
          <cell r="E839" t="str">
            <v>NZGDIR</v>
          </cell>
        </row>
        <row r="840">
          <cell r="A840">
            <v>23</v>
          </cell>
          <cell r="D840" t="str">
            <v>False</v>
          </cell>
          <cell r="E840" t="str">
            <v>NZIP</v>
          </cell>
        </row>
        <row r="841">
          <cell r="A841">
            <v>685</v>
          </cell>
          <cell r="D841" t="str">
            <v>False</v>
          </cell>
          <cell r="E841" t="str">
            <v>NZKARTDIR</v>
          </cell>
        </row>
        <row r="842">
          <cell r="A842">
            <v>19</v>
          </cell>
          <cell r="D842" t="str">
            <v>True</v>
          </cell>
        </row>
        <row r="843">
          <cell r="A843">
            <v>1181</v>
          </cell>
          <cell r="D843" t="str">
            <v>False</v>
          </cell>
          <cell r="E843" t="str">
            <v>NZMDIR</v>
          </cell>
        </row>
        <row r="844">
          <cell r="A844">
            <v>954</v>
          </cell>
          <cell r="D844" t="str">
            <v>False</v>
          </cell>
          <cell r="E844" t="str">
            <v>NZSDIR</v>
          </cell>
        </row>
        <row r="845">
          <cell r="A845">
            <v>768</v>
          </cell>
          <cell r="D845" t="str">
            <v>False</v>
          </cell>
          <cell r="E845" t="str">
            <v>NZVP</v>
          </cell>
        </row>
        <row r="846">
          <cell r="A846">
            <v>955</v>
          </cell>
          <cell r="D846" t="str">
            <v>False</v>
          </cell>
          <cell r="E846" t="str">
            <v>NZVDIR</v>
          </cell>
        </row>
        <row r="847">
          <cell r="A847">
            <v>617</v>
          </cell>
          <cell r="D847" t="str">
            <v>False</v>
          </cell>
          <cell r="E847" t="str">
            <v>NZWISTDIR</v>
          </cell>
        </row>
        <row r="848">
          <cell r="A848">
            <v>516</v>
          </cell>
          <cell r="D848" t="str">
            <v>False</v>
          </cell>
          <cell r="E848" t="str">
            <v>OEATO</v>
          </cell>
        </row>
        <row r="849">
          <cell r="A849">
            <v>138</v>
          </cell>
          <cell r="D849" t="str">
            <v>True</v>
          </cell>
          <cell r="E849" t="str">
            <v>ÖBRP</v>
          </cell>
        </row>
        <row r="850">
          <cell r="A850">
            <v>467</v>
          </cell>
          <cell r="D850" t="str">
            <v>False</v>
          </cell>
          <cell r="E850" t="str">
            <v>BOTVOEDP</v>
          </cell>
        </row>
        <row r="851">
          <cell r="A851">
            <v>670</v>
          </cell>
          <cell r="D851" t="str">
            <v>False</v>
          </cell>
          <cell r="E851" t="str">
            <v>KHÖBAU</v>
          </cell>
        </row>
        <row r="852">
          <cell r="A852">
            <v>309</v>
          </cell>
          <cell r="D852" t="str">
            <v>False</v>
          </cell>
          <cell r="E852" t="str">
            <v>BOÖBAUP</v>
          </cell>
        </row>
        <row r="853">
          <cell r="A853">
            <v>1121</v>
          </cell>
          <cell r="D853" t="str">
            <v>False</v>
          </cell>
          <cell r="E853" t="str">
            <v>BOÖBAUPREM</v>
          </cell>
        </row>
        <row r="854">
          <cell r="A854">
            <v>197</v>
          </cell>
          <cell r="D854" t="str">
            <v>False</v>
          </cell>
          <cell r="E854" t="str">
            <v>BDTVÖDD</v>
          </cell>
        </row>
        <row r="855">
          <cell r="A855">
            <v>349</v>
          </cell>
          <cell r="D855" t="str">
            <v>False</v>
          </cell>
          <cell r="E855" t="str">
            <v>BOÖWIP</v>
          </cell>
        </row>
        <row r="856">
          <cell r="A856">
            <v>68</v>
          </cell>
          <cell r="D856" t="str">
            <v>True</v>
          </cell>
        </row>
        <row r="857">
          <cell r="A857">
            <v>1465</v>
          </cell>
          <cell r="D857" t="str">
            <v>False</v>
          </cell>
          <cell r="E857" t="str">
            <v>PATLAWINT</v>
          </cell>
        </row>
        <row r="858">
          <cell r="A858">
            <v>416</v>
          </cell>
          <cell r="D858" t="str">
            <v>False</v>
          </cell>
          <cell r="E858" t="str">
            <v>BOPATP</v>
          </cell>
        </row>
        <row r="859">
          <cell r="A859">
            <v>1362</v>
          </cell>
          <cell r="D859" t="str">
            <v>False</v>
          </cell>
          <cell r="E859" t="str">
            <v>BOPATPREM</v>
          </cell>
        </row>
        <row r="860">
          <cell r="A860">
            <v>218</v>
          </cell>
          <cell r="D860" t="str">
            <v>False</v>
          </cell>
        </row>
        <row r="861">
          <cell r="A861">
            <v>217</v>
          </cell>
          <cell r="D861" t="str">
            <v>False</v>
          </cell>
        </row>
        <row r="862">
          <cell r="A862">
            <v>289</v>
          </cell>
          <cell r="D862" t="str">
            <v>True</v>
          </cell>
          <cell r="E862" t="str">
            <v>PERS</v>
          </cell>
        </row>
        <row r="863">
          <cell r="A863">
            <v>1432</v>
          </cell>
          <cell r="D863" t="str">
            <v>False</v>
          </cell>
          <cell r="E863" t="str">
            <v>BDPERSDKI</v>
          </cell>
        </row>
        <row r="864">
          <cell r="A864">
            <v>146</v>
          </cell>
          <cell r="D864" t="str">
            <v>False</v>
          </cell>
          <cell r="E864" t="str">
            <v>BDPERSD</v>
          </cell>
        </row>
        <row r="865">
          <cell r="A865">
            <v>456</v>
          </cell>
          <cell r="D865" t="str">
            <v>False</v>
          </cell>
          <cell r="E865" t="str">
            <v>BOPHRP</v>
          </cell>
        </row>
        <row r="866">
          <cell r="A866">
            <v>1293</v>
          </cell>
          <cell r="D866" t="str">
            <v>False</v>
          </cell>
          <cell r="E866" t="str">
            <v>BOPHRPREM</v>
          </cell>
        </row>
        <row r="867">
          <cell r="A867">
            <v>1473</v>
          </cell>
          <cell r="D867" t="str">
            <v>False</v>
          </cell>
          <cell r="E867" t="str">
            <v>PHARDIR</v>
          </cell>
        </row>
        <row r="868">
          <cell r="A868">
            <v>208</v>
          </cell>
          <cell r="D868" t="str">
            <v>False</v>
          </cell>
          <cell r="E868" t="str">
            <v>BOIBRP</v>
          </cell>
        </row>
        <row r="869">
          <cell r="A869">
            <v>928</v>
          </cell>
          <cell r="D869" t="str">
            <v>False</v>
          </cell>
          <cell r="E869" t="str">
            <v>BOIBRBAUPN</v>
          </cell>
        </row>
        <row r="870">
          <cell r="A870">
            <v>209</v>
          </cell>
          <cell r="D870" t="str">
            <v>False</v>
          </cell>
          <cell r="E870" t="str">
            <v>BOIBRBAUP</v>
          </cell>
        </row>
        <row r="871">
          <cell r="A871">
            <v>932</v>
          </cell>
          <cell r="D871" t="str">
            <v>False</v>
          </cell>
          <cell r="E871" t="str">
            <v>BOIBRBAUPREM</v>
          </cell>
        </row>
        <row r="872">
          <cell r="A872">
            <v>926</v>
          </cell>
          <cell r="D872" t="str">
            <v>False</v>
          </cell>
          <cell r="E872" t="str">
            <v>BOBAUPN</v>
          </cell>
        </row>
        <row r="873">
          <cell r="A873">
            <v>37</v>
          </cell>
          <cell r="D873" t="str">
            <v>False</v>
          </cell>
          <cell r="E873" t="str">
            <v>BOBAUP</v>
          </cell>
        </row>
        <row r="874">
          <cell r="A874">
            <v>945</v>
          </cell>
          <cell r="D874" t="str">
            <v>False</v>
          </cell>
          <cell r="E874" t="str">
            <v>BOBAUPREM</v>
          </cell>
        </row>
        <row r="875">
          <cell r="A875">
            <v>687</v>
          </cell>
          <cell r="D875" t="str">
            <v>False</v>
          </cell>
          <cell r="E875" t="str">
            <v>RUSDIR</v>
          </cell>
        </row>
        <row r="876">
          <cell r="A876">
            <v>1302</v>
          </cell>
          <cell r="D876" t="str">
            <v>False</v>
          </cell>
          <cell r="E876" t="str">
            <v>RUSP</v>
          </cell>
        </row>
        <row r="877">
          <cell r="A877">
            <v>909</v>
          </cell>
          <cell r="D877" t="str">
            <v>False</v>
          </cell>
          <cell r="E877" t="str">
            <v>RAWP</v>
          </cell>
        </row>
        <row r="878">
          <cell r="A878">
            <v>75</v>
          </cell>
          <cell r="D878" t="str">
            <v>True</v>
          </cell>
          <cell r="E878" t="str">
            <v>RDAAUTOR</v>
          </cell>
        </row>
        <row r="879">
          <cell r="A879">
            <v>127</v>
          </cell>
          <cell r="D879" t="str">
            <v>False</v>
          </cell>
          <cell r="E879" t="str">
            <v>RDAP</v>
          </cell>
        </row>
        <row r="880">
          <cell r="A880">
            <v>906</v>
          </cell>
          <cell r="D880" t="str">
            <v>False</v>
          </cell>
          <cell r="E880" t="str">
            <v>RDFP</v>
          </cell>
        </row>
        <row r="881">
          <cell r="A881">
            <v>1194</v>
          </cell>
          <cell r="D881" t="str">
            <v>False</v>
          </cell>
          <cell r="E881" t="str">
            <v>RDIDIR</v>
          </cell>
        </row>
        <row r="882">
          <cell r="A882">
            <v>684</v>
          </cell>
          <cell r="D882" t="str">
            <v>False</v>
          </cell>
          <cell r="E882" t="str">
            <v>RDTWDIR</v>
          </cell>
        </row>
        <row r="883">
          <cell r="A883">
            <v>1468</v>
          </cell>
          <cell r="D883" t="str">
            <v>False</v>
          </cell>
          <cell r="E883" t="str">
            <v>BORBWP</v>
          </cell>
        </row>
        <row r="884">
          <cell r="A884">
            <v>1196</v>
          </cell>
          <cell r="D884" t="str">
            <v>False</v>
          </cell>
          <cell r="E884" t="str">
            <v>BODIGIP</v>
          </cell>
        </row>
        <row r="885">
          <cell r="A885">
            <v>774</v>
          </cell>
          <cell r="D885" t="str">
            <v>True</v>
          </cell>
          <cell r="E885" t="str">
            <v>RSPRBEBIKO</v>
          </cell>
        </row>
        <row r="886">
          <cell r="A886">
            <v>622</v>
          </cell>
          <cell r="D886" t="str">
            <v>False</v>
          </cell>
          <cell r="E886" t="str">
            <v>BORSP</v>
          </cell>
        </row>
        <row r="887">
          <cell r="A887">
            <v>190</v>
          </cell>
          <cell r="D887" t="str">
            <v>True</v>
          </cell>
          <cell r="E887" t="str">
            <v>ELKB</v>
          </cell>
        </row>
        <row r="888">
          <cell r="A888">
            <v>249</v>
          </cell>
          <cell r="D888" t="str">
            <v>False</v>
          </cell>
          <cell r="E888" t="str">
            <v>KOREDP</v>
          </cell>
        </row>
        <row r="889">
          <cell r="A889">
            <v>1268</v>
          </cell>
          <cell r="D889" t="str">
            <v>False</v>
          </cell>
          <cell r="E889" t="str">
            <v>BORRP</v>
          </cell>
        </row>
        <row r="890">
          <cell r="A890">
            <v>1242</v>
          </cell>
          <cell r="D890" t="str">
            <v>False</v>
          </cell>
          <cell r="E890" t="str">
            <v>RFAMUDIR</v>
          </cell>
        </row>
        <row r="891">
          <cell r="A891">
            <v>1397</v>
          </cell>
          <cell r="D891" t="str">
            <v>False</v>
          </cell>
          <cell r="E891" t="str">
            <v>RIIPRAXDIR</v>
          </cell>
        </row>
        <row r="892">
          <cell r="A892">
            <v>1410</v>
          </cell>
          <cell r="D892" t="str">
            <v>False</v>
          </cell>
          <cell r="E892" t="str">
            <v>RINPRAXDIR</v>
          </cell>
        </row>
        <row r="893">
          <cell r="A893">
            <v>881</v>
          </cell>
          <cell r="D893" t="str">
            <v>False</v>
          </cell>
          <cell r="E893" t="str">
            <v>RIWP</v>
          </cell>
        </row>
        <row r="894">
          <cell r="A894">
            <v>948</v>
          </cell>
          <cell r="D894" t="str">
            <v>False</v>
          </cell>
          <cell r="E894" t="str">
            <v>RNOTZDIR</v>
          </cell>
        </row>
        <row r="895">
          <cell r="A895">
            <v>1417</v>
          </cell>
          <cell r="D895" t="str">
            <v>False</v>
          </cell>
          <cell r="E895" t="str">
            <v>RRAP</v>
          </cell>
        </row>
        <row r="896">
          <cell r="A896">
            <v>1415</v>
          </cell>
          <cell r="D896" t="str">
            <v>False</v>
          </cell>
          <cell r="E896" t="str">
            <v>RRADIR</v>
          </cell>
        </row>
        <row r="897">
          <cell r="A897">
            <v>130</v>
          </cell>
          <cell r="D897" t="str">
            <v>False</v>
          </cell>
          <cell r="E897" t="str">
            <v>RVGP</v>
          </cell>
        </row>
        <row r="898">
          <cell r="A898">
            <v>1400</v>
          </cell>
          <cell r="D898" t="str">
            <v>True</v>
          </cell>
          <cell r="E898" t="str">
            <v>RWSVERLAG</v>
          </cell>
        </row>
        <row r="899">
          <cell r="A899">
            <v>870</v>
          </cell>
          <cell r="D899" t="str">
            <v>True</v>
          </cell>
          <cell r="E899" t="str">
            <v>SFHB-AUTOR</v>
          </cell>
        </row>
        <row r="900">
          <cell r="A900">
            <v>1077</v>
          </cell>
          <cell r="D900" t="str">
            <v>False</v>
          </cell>
          <cell r="E900" t="str">
            <v>NOHKZPO8</v>
          </cell>
        </row>
        <row r="901">
          <cell r="A901">
            <v>1206</v>
          </cell>
          <cell r="D901" t="str">
            <v>False</v>
          </cell>
          <cell r="E901" t="str">
            <v>NOHKZPO9</v>
          </cell>
        </row>
        <row r="902">
          <cell r="A902">
            <v>888</v>
          </cell>
          <cell r="D902" t="str">
            <v>False</v>
          </cell>
          <cell r="E902" t="str">
            <v>NOFZPO3</v>
          </cell>
        </row>
        <row r="903">
          <cell r="A903">
            <v>1035</v>
          </cell>
          <cell r="D903" t="str">
            <v>False</v>
          </cell>
          <cell r="E903" t="str">
            <v>NOFZPO4</v>
          </cell>
        </row>
        <row r="904">
          <cell r="A904">
            <v>1228</v>
          </cell>
          <cell r="D904" t="str">
            <v>False</v>
          </cell>
          <cell r="E904" t="str">
            <v>NOFZPO5</v>
          </cell>
        </row>
        <row r="905">
          <cell r="A905">
            <v>1216</v>
          </cell>
          <cell r="D905" t="str">
            <v>False</v>
          </cell>
          <cell r="E905" t="str">
            <v>BOSANP</v>
          </cell>
        </row>
        <row r="906">
          <cell r="A906">
            <v>29</v>
          </cell>
          <cell r="D906" t="str">
            <v>False</v>
          </cell>
          <cell r="E906" t="str">
            <v>SARP</v>
          </cell>
        </row>
        <row r="907">
          <cell r="A907">
            <v>1108</v>
          </cell>
          <cell r="D907" t="str">
            <v>False</v>
          </cell>
          <cell r="E907" t="str">
            <v>NOFOMR4</v>
          </cell>
        </row>
        <row r="908">
          <cell r="A908">
            <v>399</v>
          </cell>
          <cell r="D908" t="str">
            <v>True</v>
          </cell>
          <cell r="E908" t="str">
            <v>SchaubForm</v>
          </cell>
        </row>
        <row r="909">
          <cell r="A909">
            <v>125</v>
          </cell>
          <cell r="D909" t="str">
            <v>True</v>
          </cell>
          <cell r="E909" t="str">
            <v>SVZ-AUTOR</v>
          </cell>
        </row>
        <row r="910">
          <cell r="A910">
            <v>1414</v>
          </cell>
          <cell r="D910" t="str">
            <v>False</v>
          </cell>
          <cell r="E910" t="str">
            <v>KOESTGKI</v>
          </cell>
        </row>
        <row r="911">
          <cell r="A911">
            <v>703</v>
          </cell>
          <cell r="D911" t="str">
            <v>False</v>
          </cell>
          <cell r="E911" t="str">
            <v>KOESTG</v>
          </cell>
        </row>
        <row r="912">
          <cell r="A912">
            <v>1460</v>
          </cell>
          <cell r="D912" t="str">
            <v>True</v>
          </cell>
          <cell r="E912" t="str">
            <v>SCHMTTKHLR-AUTOR</v>
          </cell>
        </row>
        <row r="913">
          <cell r="A913">
            <v>1273</v>
          </cell>
          <cell r="D913" t="str">
            <v>False</v>
          </cell>
          <cell r="E913" t="str">
            <v>ILINK</v>
          </cell>
        </row>
        <row r="914">
          <cell r="A914">
            <v>1078</v>
          </cell>
          <cell r="D914" t="str">
            <v>False</v>
          </cell>
          <cell r="E914" t="str">
            <v>NOHKBGB10</v>
          </cell>
        </row>
        <row r="915">
          <cell r="A915">
            <v>1231</v>
          </cell>
          <cell r="D915" t="str">
            <v>False</v>
          </cell>
          <cell r="E915" t="str">
            <v>NOHKBGB11</v>
          </cell>
        </row>
        <row r="916">
          <cell r="A916">
            <v>944</v>
          </cell>
          <cell r="D916" t="str">
            <v>False</v>
          </cell>
          <cell r="E916" t="str">
            <v>NOHKBGB9</v>
          </cell>
        </row>
        <row r="917">
          <cell r="A917">
            <v>943</v>
          </cell>
          <cell r="D917" t="str">
            <v>False</v>
          </cell>
          <cell r="E917" t="str">
            <v>NOFBGB3</v>
          </cell>
        </row>
        <row r="918">
          <cell r="A918">
            <v>1102</v>
          </cell>
          <cell r="D918" t="str">
            <v>False</v>
          </cell>
          <cell r="E918" t="str">
            <v>NOFBGB4</v>
          </cell>
        </row>
        <row r="919">
          <cell r="A919">
            <v>1348</v>
          </cell>
          <cell r="D919" t="str">
            <v>False</v>
          </cell>
          <cell r="E919" t="str">
            <v>NOFBGB5</v>
          </cell>
        </row>
        <row r="920">
          <cell r="A920">
            <v>848</v>
          </cell>
          <cell r="D920" t="str">
            <v>False</v>
          </cell>
          <cell r="E920" t="str">
            <v>SCHWACKE</v>
          </cell>
        </row>
        <row r="921">
          <cell r="A921">
            <v>1223</v>
          </cell>
          <cell r="D921" t="str">
            <v>False</v>
          </cell>
          <cell r="E921" t="str">
            <v>SICP</v>
          </cell>
        </row>
        <row r="922">
          <cell r="A922">
            <v>868</v>
          </cell>
          <cell r="D922" t="str">
            <v>False</v>
          </cell>
          <cell r="E922" t="str">
            <v>BOSIPOP</v>
          </cell>
        </row>
        <row r="923">
          <cell r="A923">
            <v>1431</v>
          </cell>
          <cell r="D923" t="str">
            <v>False</v>
          </cell>
          <cell r="E923" t="str">
            <v>BOSIPOPREM</v>
          </cell>
        </row>
        <row r="924">
          <cell r="A924">
            <v>1333</v>
          </cell>
          <cell r="D924" t="str">
            <v>False</v>
          </cell>
          <cell r="E924" t="str">
            <v>KHKSBGB</v>
          </cell>
        </row>
        <row r="925">
          <cell r="A925">
            <v>1285</v>
          </cell>
          <cell r="D925" t="str">
            <v>False</v>
          </cell>
          <cell r="E925" t="str">
            <v>SOM23</v>
          </cell>
        </row>
        <row r="926">
          <cell r="A926">
            <v>1350</v>
          </cell>
          <cell r="D926" t="str">
            <v>False</v>
          </cell>
          <cell r="E926" t="str">
            <v>SOM24</v>
          </cell>
        </row>
        <row r="927">
          <cell r="A927">
            <v>1438</v>
          </cell>
          <cell r="D927" t="str">
            <v>False</v>
          </cell>
          <cell r="E927" t="str">
            <v>SOM25</v>
          </cell>
        </row>
        <row r="928">
          <cell r="A928">
            <v>1478</v>
          </cell>
          <cell r="D928" t="str">
            <v>False</v>
          </cell>
          <cell r="E928" t="str">
            <v>SOM26</v>
          </cell>
        </row>
        <row r="929">
          <cell r="A929">
            <v>1026</v>
          </cell>
          <cell r="D929" t="str">
            <v>False</v>
          </cell>
          <cell r="E929" t="str">
            <v>NOPPRBAU2</v>
          </cell>
        </row>
        <row r="930">
          <cell r="A930">
            <v>615</v>
          </cell>
          <cell r="D930" t="str">
            <v>False</v>
          </cell>
          <cell r="E930" t="str">
            <v>AWSOZ</v>
          </cell>
        </row>
        <row r="931">
          <cell r="A931">
            <v>658</v>
          </cell>
          <cell r="D931" t="str">
            <v>False</v>
          </cell>
          <cell r="E931" t="str">
            <v>FJASOZ</v>
          </cell>
        </row>
        <row r="932">
          <cell r="A932">
            <v>558</v>
          </cell>
          <cell r="D932" t="str">
            <v>False</v>
          </cell>
          <cell r="E932" t="str">
            <v>BOSOZAFP</v>
          </cell>
        </row>
        <row r="933">
          <cell r="A933">
            <v>765</v>
          </cell>
          <cell r="D933" t="str">
            <v>False</v>
          </cell>
          <cell r="E933" t="str">
            <v>KHSOZ</v>
          </cell>
        </row>
        <row r="934">
          <cell r="A934">
            <v>1341</v>
          </cell>
          <cell r="D934" t="str">
            <v>False</v>
          </cell>
          <cell r="E934" t="str">
            <v>BOSOZOPT</v>
          </cell>
        </row>
        <row r="935">
          <cell r="A935">
            <v>1343</v>
          </cell>
          <cell r="D935" t="str">
            <v>False</v>
          </cell>
          <cell r="E935" t="str">
            <v>BOSOZPN</v>
          </cell>
        </row>
        <row r="936">
          <cell r="A936">
            <v>196</v>
          </cell>
          <cell r="D936" t="str">
            <v>False</v>
          </cell>
          <cell r="E936" t="str">
            <v>BOSOZP</v>
          </cell>
        </row>
        <row r="937">
          <cell r="A937">
            <v>1335</v>
          </cell>
          <cell r="D937" t="str">
            <v>False</v>
          </cell>
          <cell r="E937" t="str">
            <v>BOSOZPRN</v>
          </cell>
        </row>
        <row r="938">
          <cell r="A938">
            <v>555</v>
          </cell>
          <cell r="D938" t="str">
            <v>False</v>
          </cell>
          <cell r="E938" t="str">
            <v>BOSOZPREM</v>
          </cell>
        </row>
        <row r="939">
          <cell r="A939">
            <v>557</v>
          </cell>
          <cell r="D939" t="str">
            <v>False</v>
          </cell>
          <cell r="E939" t="str">
            <v>BOSOZRVP</v>
          </cell>
        </row>
        <row r="940">
          <cell r="A940">
            <v>173</v>
          </cell>
          <cell r="D940" t="str">
            <v>True</v>
          </cell>
          <cell r="E940" t="str">
            <v>Sozialrecht-Beirat</v>
          </cell>
        </row>
        <row r="941">
          <cell r="A941">
            <v>633</v>
          </cell>
          <cell r="D941" t="str">
            <v>False</v>
          </cell>
          <cell r="E941" t="str">
            <v>SPAO</v>
          </cell>
        </row>
        <row r="942">
          <cell r="A942">
            <v>1039</v>
          </cell>
          <cell r="D942" t="str">
            <v>False</v>
          </cell>
          <cell r="E942" t="str">
            <v>NOFFDKDS</v>
          </cell>
        </row>
        <row r="943">
          <cell r="A943">
            <v>1236</v>
          </cell>
          <cell r="D943" t="str">
            <v>True</v>
          </cell>
          <cell r="E943" t="str">
            <v>SPOPRAX</v>
          </cell>
        </row>
        <row r="944">
          <cell r="A944">
            <v>1266</v>
          </cell>
          <cell r="D944" t="str">
            <v>False</v>
          </cell>
          <cell r="E944" t="str">
            <v>SPOPXDIR</v>
          </cell>
        </row>
        <row r="945">
          <cell r="A945">
            <v>1032</v>
          </cell>
          <cell r="D945" t="str">
            <v>False</v>
          </cell>
          <cell r="E945" t="str">
            <v>BOSPRP</v>
          </cell>
        </row>
        <row r="946">
          <cell r="A946">
            <v>916</v>
          </cell>
          <cell r="D946" t="str">
            <v>False</v>
          </cell>
          <cell r="E946" t="str">
            <v>SRADIR</v>
          </cell>
        </row>
        <row r="947">
          <cell r="A947">
            <v>206</v>
          </cell>
          <cell r="D947" t="str">
            <v>False</v>
          </cell>
          <cell r="E947" t="str">
            <v>STAUDGP</v>
          </cell>
        </row>
        <row r="948">
          <cell r="A948">
            <v>163</v>
          </cell>
          <cell r="D948" t="str">
            <v>False</v>
          </cell>
          <cell r="E948" t="str">
            <v>STAUFAMP</v>
          </cell>
        </row>
        <row r="949">
          <cell r="A949">
            <v>903</v>
          </cell>
          <cell r="D949" t="str">
            <v>False</v>
          </cell>
          <cell r="E949" t="str">
            <v>STBP</v>
          </cell>
        </row>
        <row r="950">
          <cell r="A950">
            <v>963</v>
          </cell>
          <cell r="D950" t="str">
            <v>False</v>
          </cell>
          <cell r="E950" t="str">
            <v>STBBAS</v>
          </cell>
        </row>
        <row r="951">
          <cell r="A951">
            <v>793</v>
          </cell>
          <cell r="D951" t="str">
            <v>False</v>
          </cell>
          <cell r="E951" t="str">
            <v>BOSTROPT</v>
          </cell>
        </row>
        <row r="952">
          <cell r="A952">
            <v>1156</v>
          </cell>
          <cell r="D952" t="str">
            <v>False</v>
          </cell>
          <cell r="E952" t="str">
            <v>SKPRO</v>
          </cell>
        </row>
        <row r="953">
          <cell r="A953">
            <v>1158</v>
          </cell>
          <cell r="D953" t="str">
            <v>False</v>
          </cell>
          <cell r="E953" t="str">
            <v>SKAG</v>
          </cell>
        </row>
        <row r="954">
          <cell r="A954">
            <v>1160</v>
          </cell>
          <cell r="D954" t="str">
            <v>False</v>
          </cell>
          <cell r="E954" t="str">
            <v>SKERBST</v>
          </cell>
        </row>
        <row r="955">
          <cell r="A955">
            <v>1157</v>
          </cell>
          <cell r="D955" t="str">
            <v>False</v>
          </cell>
          <cell r="E955" t="str">
            <v>SKGMBH</v>
          </cell>
        </row>
        <row r="956">
          <cell r="A956">
            <v>1161</v>
          </cell>
          <cell r="D956" t="str">
            <v>False</v>
          </cell>
          <cell r="E956" t="str">
            <v>SKGREST</v>
          </cell>
        </row>
        <row r="957">
          <cell r="A957">
            <v>1162</v>
          </cell>
          <cell r="D957" t="str">
            <v>False</v>
          </cell>
          <cell r="E957" t="str">
            <v>SKISTR</v>
          </cell>
        </row>
        <row r="958">
          <cell r="A958">
            <v>1159</v>
          </cell>
          <cell r="D958" t="str">
            <v>False</v>
          </cell>
          <cell r="E958" t="str">
            <v>SKUWR</v>
          </cell>
        </row>
        <row r="959">
          <cell r="A959">
            <v>1278</v>
          </cell>
          <cell r="D959" t="str">
            <v>False</v>
          </cell>
          <cell r="E959" t="str">
            <v>SLPRO</v>
          </cell>
        </row>
        <row r="960">
          <cell r="A960">
            <v>681</v>
          </cell>
          <cell r="D960" t="str">
            <v>False</v>
          </cell>
          <cell r="E960" t="str">
            <v>BOSLP</v>
          </cell>
        </row>
        <row r="961">
          <cell r="A961">
            <v>674</v>
          </cell>
          <cell r="D961" t="str">
            <v>False</v>
          </cell>
          <cell r="E961" t="str">
            <v>BOSLPREM</v>
          </cell>
        </row>
        <row r="962">
          <cell r="A962">
            <v>542</v>
          </cell>
          <cell r="D962" t="str">
            <v>False</v>
          </cell>
          <cell r="E962" t="str">
            <v>BMSTR</v>
          </cell>
        </row>
        <row r="963">
          <cell r="A963">
            <v>77</v>
          </cell>
          <cell r="D963" t="str">
            <v>False</v>
          </cell>
          <cell r="E963" t="str">
            <v>BOSTRP</v>
          </cell>
        </row>
        <row r="964">
          <cell r="A964">
            <v>394</v>
          </cell>
          <cell r="D964" t="str">
            <v>False</v>
          </cell>
          <cell r="E964" t="str">
            <v>BOSTRPREM</v>
          </cell>
        </row>
        <row r="965">
          <cell r="A965">
            <v>431</v>
          </cell>
          <cell r="D965" t="str">
            <v>False</v>
          </cell>
          <cell r="E965" t="str">
            <v>BOSTRPISTR</v>
          </cell>
        </row>
        <row r="966">
          <cell r="A966">
            <v>569</v>
          </cell>
          <cell r="D966" t="str">
            <v>False</v>
          </cell>
          <cell r="E966" t="str">
            <v>BOSTRINT</v>
          </cell>
        </row>
        <row r="967">
          <cell r="A967">
            <v>109</v>
          </cell>
          <cell r="D967" t="str">
            <v>False</v>
          </cell>
          <cell r="E967" t="str">
            <v>BOSTRTP</v>
          </cell>
        </row>
        <row r="968">
          <cell r="A968">
            <v>1090</v>
          </cell>
          <cell r="D968" t="str">
            <v>True</v>
          </cell>
          <cell r="E968" t="str">
            <v>STVAEST18</v>
          </cell>
        </row>
        <row r="969">
          <cell r="A969">
            <v>1092</v>
          </cell>
          <cell r="D969" t="str">
            <v>True</v>
          </cell>
          <cell r="E969" t="str">
            <v>STVAGES18</v>
          </cell>
        </row>
        <row r="970">
          <cell r="A970">
            <v>1089</v>
          </cell>
          <cell r="D970" t="str">
            <v>True</v>
          </cell>
          <cell r="E970" t="str">
            <v>STVAGWST18</v>
          </cell>
        </row>
        <row r="971">
          <cell r="A971">
            <v>1091</v>
          </cell>
          <cell r="D971" t="str">
            <v>True</v>
          </cell>
          <cell r="E971" t="str">
            <v>STVAKST18</v>
          </cell>
        </row>
        <row r="972">
          <cell r="A972">
            <v>1093</v>
          </cell>
          <cell r="D972" t="str">
            <v>True</v>
          </cell>
          <cell r="E972" t="str">
            <v>STVAUST18</v>
          </cell>
        </row>
        <row r="973">
          <cell r="A973">
            <v>1144</v>
          </cell>
          <cell r="D973" t="str">
            <v>True</v>
          </cell>
          <cell r="E973" t="str">
            <v>STVAEST19</v>
          </cell>
        </row>
        <row r="974">
          <cell r="A974">
            <v>1147</v>
          </cell>
          <cell r="D974" t="str">
            <v>True</v>
          </cell>
          <cell r="E974" t="str">
            <v>STVAGES19</v>
          </cell>
        </row>
        <row r="975">
          <cell r="A975">
            <v>1143</v>
          </cell>
          <cell r="D975" t="str">
            <v>True</v>
          </cell>
          <cell r="E975" t="str">
            <v>STVAGWST19</v>
          </cell>
        </row>
        <row r="976">
          <cell r="A976">
            <v>1146</v>
          </cell>
          <cell r="D976" t="str">
            <v>True</v>
          </cell>
          <cell r="E976" t="str">
            <v>STVAKST19</v>
          </cell>
        </row>
        <row r="977">
          <cell r="A977">
            <v>1145</v>
          </cell>
          <cell r="D977" t="str">
            <v>True</v>
          </cell>
          <cell r="E977" t="str">
            <v>STVAUST19</v>
          </cell>
        </row>
        <row r="978">
          <cell r="A978">
            <v>1209</v>
          </cell>
          <cell r="D978" t="str">
            <v>True</v>
          </cell>
          <cell r="E978" t="str">
            <v>STVAEST20</v>
          </cell>
        </row>
        <row r="979">
          <cell r="A979">
            <v>1213</v>
          </cell>
          <cell r="D979" t="str">
            <v>True</v>
          </cell>
          <cell r="E979" t="str">
            <v>STVAGES20</v>
          </cell>
        </row>
        <row r="980">
          <cell r="A980">
            <v>1208</v>
          </cell>
          <cell r="D980" t="str">
            <v>True</v>
          </cell>
          <cell r="E980" t="str">
            <v>STVAGWKST20</v>
          </cell>
        </row>
        <row r="981">
          <cell r="A981">
            <v>1210</v>
          </cell>
          <cell r="D981" t="str">
            <v>True</v>
          </cell>
          <cell r="E981" t="str">
            <v>STVAUST20</v>
          </cell>
        </row>
        <row r="982">
          <cell r="A982">
            <v>1252</v>
          </cell>
          <cell r="D982" t="str">
            <v>True</v>
          </cell>
          <cell r="E982" t="str">
            <v>STVAEST21</v>
          </cell>
        </row>
        <row r="983">
          <cell r="A983">
            <v>1254</v>
          </cell>
          <cell r="D983" t="str">
            <v>True</v>
          </cell>
          <cell r="E983" t="str">
            <v>STVAGES21</v>
          </cell>
        </row>
        <row r="984">
          <cell r="A984">
            <v>1251</v>
          </cell>
          <cell r="D984" t="str">
            <v>True</v>
          </cell>
          <cell r="E984" t="str">
            <v>STVAGWKST21</v>
          </cell>
        </row>
        <row r="985">
          <cell r="A985">
            <v>1253</v>
          </cell>
          <cell r="D985" t="str">
            <v>True</v>
          </cell>
          <cell r="E985" t="str">
            <v>STVAUST21</v>
          </cell>
        </row>
        <row r="986">
          <cell r="A986">
            <v>1296</v>
          </cell>
          <cell r="D986" t="str">
            <v>True</v>
          </cell>
          <cell r="E986" t="str">
            <v>STVAEST22</v>
          </cell>
        </row>
        <row r="987">
          <cell r="A987">
            <v>1297</v>
          </cell>
          <cell r="D987" t="str">
            <v>True</v>
          </cell>
          <cell r="E987" t="str">
            <v>STVAGES22</v>
          </cell>
        </row>
        <row r="988">
          <cell r="A988">
            <v>1295</v>
          </cell>
          <cell r="D988" t="str">
            <v>True</v>
          </cell>
          <cell r="E988" t="str">
            <v>STVAGWKST22</v>
          </cell>
        </row>
        <row r="989">
          <cell r="A989">
            <v>1294</v>
          </cell>
          <cell r="D989" t="str">
            <v>True</v>
          </cell>
          <cell r="E989" t="str">
            <v>STVAUST22</v>
          </cell>
        </row>
        <row r="990">
          <cell r="A990">
            <v>1359</v>
          </cell>
          <cell r="D990" t="str">
            <v>True</v>
          </cell>
          <cell r="E990" t="str">
            <v>STVAEST23</v>
          </cell>
        </row>
        <row r="991">
          <cell r="A991">
            <v>1355</v>
          </cell>
          <cell r="D991" t="str">
            <v>True</v>
          </cell>
          <cell r="E991" t="str">
            <v>STVAGES23</v>
          </cell>
        </row>
        <row r="992">
          <cell r="A992">
            <v>1360</v>
          </cell>
          <cell r="D992" t="str">
            <v>True</v>
          </cell>
          <cell r="E992" t="str">
            <v>STVAUST23</v>
          </cell>
        </row>
        <row r="993">
          <cell r="A993">
            <v>1424</v>
          </cell>
          <cell r="D993" t="str">
            <v>True</v>
          </cell>
          <cell r="E993" t="str">
            <v>STVAEST24</v>
          </cell>
        </row>
        <row r="994">
          <cell r="A994">
            <v>1425</v>
          </cell>
          <cell r="D994" t="str">
            <v>True</v>
          </cell>
          <cell r="E994" t="str">
            <v>STVAGES24</v>
          </cell>
        </row>
        <row r="995">
          <cell r="A995">
            <v>485</v>
          </cell>
          <cell r="D995" t="str">
            <v>False</v>
          </cell>
          <cell r="E995" t="str">
            <v>STEUKO</v>
          </cell>
        </row>
        <row r="996">
          <cell r="A996">
            <v>925</v>
          </cell>
          <cell r="D996" t="str">
            <v>False</v>
          </cell>
          <cell r="E996" t="str">
            <v>BOVSTIFRP</v>
          </cell>
        </row>
        <row r="997">
          <cell r="A997">
            <v>1101</v>
          </cell>
          <cell r="D997" t="str">
            <v>False</v>
          </cell>
          <cell r="E997" t="str">
            <v>BOVSTIFPREM</v>
          </cell>
        </row>
        <row r="998">
          <cell r="A998">
            <v>276</v>
          </cell>
          <cell r="D998" t="str">
            <v>False</v>
          </cell>
          <cell r="E998" t="str">
            <v>AWST</v>
          </cell>
        </row>
        <row r="999">
          <cell r="A999">
            <v>659</v>
          </cell>
          <cell r="D999" t="str">
            <v>False</v>
          </cell>
          <cell r="E999" t="str">
            <v>FJAST</v>
          </cell>
        </row>
        <row r="1000">
          <cell r="A1000">
            <v>917</v>
          </cell>
          <cell r="D1000" t="str">
            <v>False</v>
          </cell>
          <cell r="E1000" t="str">
            <v>HMST</v>
          </cell>
        </row>
        <row r="1001">
          <cell r="A1001">
            <v>935</v>
          </cell>
          <cell r="D1001" t="str">
            <v>False</v>
          </cell>
          <cell r="E1001" t="str">
            <v>BOSTOPT</v>
          </cell>
        </row>
        <row r="1002">
          <cell r="A1002">
            <v>81</v>
          </cell>
          <cell r="D1002" t="str">
            <v>False</v>
          </cell>
          <cell r="E1002" t="str">
            <v>BOSTP</v>
          </cell>
        </row>
        <row r="1003">
          <cell r="A1003">
            <v>348</v>
          </cell>
          <cell r="D1003" t="str">
            <v>False</v>
          </cell>
          <cell r="E1003" t="str">
            <v>BOSTPREM</v>
          </cell>
        </row>
        <row r="1004">
          <cell r="A1004">
            <v>933</v>
          </cell>
          <cell r="D1004" t="str">
            <v>False</v>
          </cell>
          <cell r="E1004" t="str">
            <v>ZAPST</v>
          </cell>
        </row>
        <row r="1005">
          <cell r="A1005">
            <v>177</v>
          </cell>
          <cell r="D1005" t="str">
            <v>True</v>
          </cell>
          <cell r="E1005" t="str">
            <v>Strafrecht-Beirat</v>
          </cell>
        </row>
        <row r="1006">
          <cell r="A1006">
            <v>204</v>
          </cell>
          <cell r="D1006" t="str">
            <v>False</v>
          </cell>
          <cell r="E1006" t="str">
            <v>BDSTVD</v>
          </cell>
        </row>
        <row r="1007">
          <cell r="A1007">
            <v>278</v>
          </cell>
          <cell r="D1007" t="str">
            <v>False</v>
          </cell>
          <cell r="E1007" t="str">
            <v>AWSTV</v>
          </cell>
        </row>
        <row r="1008">
          <cell r="A1008">
            <v>660</v>
          </cell>
          <cell r="D1008" t="str">
            <v>False</v>
          </cell>
          <cell r="E1008" t="str">
            <v>FJASTV</v>
          </cell>
        </row>
        <row r="1009">
          <cell r="A1009">
            <v>80</v>
          </cell>
          <cell r="D1009" t="str">
            <v>False</v>
          </cell>
          <cell r="E1009" t="str">
            <v>STVRP</v>
          </cell>
        </row>
        <row r="1010">
          <cell r="A1010">
            <v>885</v>
          </cell>
          <cell r="D1010" t="str">
            <v>True</v>
          </cell>
          <cell r="E1010" t="str">
            <v>STVRTDVD</v>
          </cell>
        </row>
        <row r="1011">
          <cell r="A1011">
            <v>959</v>
          </cell>
          <cell r="D1011" t="str">
            <v>True</v>
          </cell>
          <cell r="E1011" t="str">
            <v>STV</v>
          </cell>
        </row>
        <row r="1012">
          <cell r="A1012">
            <v>1082</v>
          </cell>
          <cell r="D1012" t="str">
            <v>False</v>
          </cell>
          <cell r="E1012" t="str">
            <v>STVAGEW2017TEST</v>
          </cell>
        </row>
        <row r="1013">
          <cell r="A1013">
            <v>630</v>
          </cell>
          <cell r="D1013" t="str">
            <v>True</v>
          </cell>
        </row>
        <row r="1014">
          <cell r="A1014">
            <v>826</v>
          </cell>
          <cell r="D1014" t="str">
            <v>False</v>
          </cell>
          <cell r="E1014" t="str">
            <v>SVRDIR</v>
          </cell>
        </row>
        <row r="1015">
          <cell r="A1015">
            <v>1190</v>
          </cell>
          <cell r="D1015" t="str">
            <v>False</v>
          </cell>
          <cell r="E1015" t="str">
            <v>BOSYNP</v>
          </cell>
        </row>
        <row r="1016">
          <cell r="A1016">
            <v>514</v>
          </cell>
          <cell r="D1016" t="str">
            <v>False</v>
          </cell>
          <cell r="E1016" t="str">
            <v>MDLTEST</v>
          </cell>
        </row>
        <row r="1017">
          <cell r="A1017">
            <v>1433</v>
          </cell>
          <cell r="D1017" t="str">
            <v>True</v>
          </cell>
          <cell r="E1017" t="str">
            <v>THOPU-AUTOR</v>
          </cell>
        </row>
        <row r="1018">
          <cell r="A1018">
            <v>1435</v>
          </cell>
          <cell r="D1018" t="str">
            <v>False</v>
          </cell>
          <cell r="E1018" t="str">
            <v>KOTHOPUZPO46</v>
          </cell>
        </row>
        <row r="1019">
          <cell r="A1019">
            <v>1018</v>
          </cell>
          <cell r="D1019" t="str">
            <v>False</v>
          </cell>
          <cell r="E1019" t="str">
            <v>TRBGC</v>
          </cell>
        </row>
        <row r="1020">
          <cell r="A1020">
            <v>1019</v>
          </cell>
          <cell r="D1020" t="str">
            <v>False</v>
          </cell>
          <cell r="E1020" t="str">
            <v>TRCWGTI</v>
          </cell>
        </row>
        <row r="1021">
          <cell r="A1021">
            <v>1016</v>
          </cell>
          <cell r="D1021" t="str">
            <v>False</v>
          </cell>
          <cell r="E1021" t="str">
            <v>TRITREC</v>
          </cell>
        </row>
        <row r="1022">
          <cell r="A1022">
            <v>1015</v>
          </cell>
          <cell r="D1022" t="str">
            <v>False</v>
          </cell>
          <cell r="E1022" t="str">
            <v>TRITRE</v>
          </cell>
        </row>
        <row r="1023">
          <cell r="A1023">
            <v>1013</v>
          </cell>
          <cell r="D1023" t="str">
            <v>False</v>
          </cell>
          <cell r="E1023" t="str">
            <v>TRTEST</v>
          </cell>
        </row>
        <row r="1024">
          <cell r="A1024">
            <v>1017</v>
          </cell>
          <cell r="D1024" t="str">
            <v>False</v>
          </cell>
          <cell r="E1024" t="str">
            <v>TRTPA</v>
          </cell>
        </row>
        <row r="1025">
          <cell r="A1025">
            <v>1342</v>
          </cell>
          <cell r="D1025" t="str">
            <v>False</v>
          </cell>
          <cell r="E1025" t="str">
            <v>TLJDIR</v>
          </cell>
        </row>
        <row r="1026">
          <cell r="A1026">
            <v>512</v>
          </cell>
          <cell r="D1026" t="str">
            <v>False</v>
          </cell>
          <cell r="E1026" t="str">
            <v>BOTRP</v>
          </cell>
        </row>
        <row r="1027">
          <cell r="A1027">
            <v>188</v>
          </cell>
          <cell r="D1027" t="str">
            <v>True</v>
          </cell>
        </row>
        <row r="1028">
          <cell r="A1028">
            <v>789</v>
          </cell>
          <cell r="D1028" t="str">
            <v>False</v>
          </cell>
          <cell r="E1028" t="str">
            <v>BOUSTRSP</v>
          </cell>
        </row>
        <row r="1029">
          <cell r="A1029">
            <v>290</v>
          </cell>
          <cell r="D1029" t="str">
            <v>False</v>
          </cell>
          <cell r="E1029" t="str">
            <v>BOUWP</v>
          </cell>
        </row>
        <row r="1030">
          <cell r="A1030">
            <v>1127</v>
          </cell>
          <cell r="D1030" t="str">
            <v>False</v>
          </cell>
          <cell r="E1030" t="str">
            <v>BOUWPREM</v>
          </cell>
        </row>
        <row r="1031">
          <cell r="A1031">
            <v>483</v>
          </cell>
          <cell r="D1031" t="str">
            <v>True</v>
          </cell>
        </row>
        <row r="1032">
          <cell r="A1032">
            <v>1304</v>
          </cell>
          <cell r="D1032" t="str">
            <v>False</v>
          </cell>
          <cell r="E1032" t="str">
            <v>UJDIR</v>
          </cell>
        </row>
        <row r="1033">
          <cell r="A1033">
            <v>1105</v>
          </cell>
          <cell r="D1033" t="str">
            <v>False</v>
          </cell>
          <cell r="E1033" t="str">
            <v>BOURMRP</v>
          </cell>
        </row>
        <row r="1034">
          <cell r="A1034">
            <v>1270</v>
          </cell>
          <cell r="D1034" t="str">
            <v>False</v>
          </cell>
          <cell r="E1034" t="str">
            <v>BOURMRPREM</v>
          </cell>
        </row>
        <row r="1035">
          <cell r="A1035">
            <v>1117</v>
          </cell>
          <cell r="D1035" t="str">
            <v>False</v>
          </cell>
          <cell r="E1035" t="str">
            <v>NOFOERB4</v>
          </cell>
        </row>
        <row r="1036">
          <cell r="A1036">
            <v>1306</v>
          </cell>
          <cell r="D1036" t="str">
            <v>False</v>
          </cell>
          <cell r="E1036" t="str">
            <v>NOFOERB5</v>
          </cell>
        </row>
        <row r="1037">
          <cell r="A1037">
            <v>922</v>
          </cell>
          <cell r="D1037" t="str">
            <v>False</v>
          </cell>
          <cell r="E1037" t="str">
            <v>BOVSRINT</v>
          </cell>
        </row>
        <row r="1038">
          <cell r="A1038">
            <v>455</v>
          </cell>
          <cell r="D1038" t="str">
            <v>False</v>
          </cell>
          <cell r="E1038" t="str">
            <v>BOVERFRP</v>
          </cell>
        </row>
        <row r="1039">
          <cell r="A1039">
            <v>1051</v>
          </cell>
          <cell r="D1039" t="str">
            <v>False</v>
          </cell>
          <cell r="E1039" t="str">
            <v>BOVERFRPREM</v>
          </cell>
        </row>
        <row r="1040">
          <cell r="A1040">
            <v>612</v>
          </cell>
          <cell r="D1040" t="str">
            <v>False</v>
          </cell>
          <cell r="E1040" t="str">
            <v>BOVGRP</v>
          </cell>
        </row>
        <row r="1041">
          <cell r="A1041">
            <v>860</v>
          </cell>
          <cell r="D1041" t="str">
            <v>False</v>
          </cell>
          <cell r="E1041" t="str">
            <v>BOVGRPREM</v>
          </cell>
        </row>
        <row r="1042">
          <cell r="A1042">
            <v>808</v>
          </cell>
          <cell r="D1042" t="str">
            <v>False</v>
          </cell>
          <cell r="E1042" t="str">
            <v>AVSTVVR</v>
          </cell>
        </row>
        <row r="1043">
          <cell r="A1043">
            <v>897</v>
          </cell>
          <cell r="D1043" t="str">
            <v>False</v>
          </cell>
          <cell r="E1043" t="str">
            <v>LHVERK</v>
          </cell>
        </row>
        <row r="1044">
          <cell r="A1044">
            <v>346</v>
          </cell>
          <cell r="D1044" t="str">
            <v>False</v>
          </cell>
          <cell r="E1044" t="str">
            <v>BOVERKP</v>
          </cell>
        </row>
        <row r="1045">
          <cell r="A1045">
            <v>613</v>
          </cell>
          <cell r="D1045" t="str">
            <v>False</v>
          </cell>
          <cell r="E1045" t="str">
            <v>BOVERKPREM</v>
          </cell>
        </row>
        <row r="1046">
          <cell r="A1046">
            <v>176</v>
          </cell>
          <cell r="D1046" t="str">
            <v>True</v>
          </cell>
          <cell r="E1046" t="str">
            <v>Verkehrsrecht-Beirat</v>
          </cell>
        </row>
        <row r="1047">
          <cell r="A1047">
            <v>818</v>
          </cell>
          <cell r="D1047" t="str">
            <v>False</v>
          </cell>
          <cell r="E1047" t="str">
            <v>BOVRPP</v>
          </cell>
        </row>
        <row r="1048">
          <cell r="A1048">
            <v>1083</v>
          </cell>
          <cell r="D1048" t="str">
            <v>False</v>
          </cell>
          <cell r="E1048" t="str">
            <v>BOVERSOPT</v>
          </cell>
        </row>
        <row r="1049">
          <cell r="A1049">
            <v>106</v>
          </cell>
          <cell r="D1049" t="str">
            <v>False</v>
          </cell>
          <cell r="E1049" t="str">
            <v>BOVERSP</v>
          </cell>
        </row>
        <row r="1050">
          <cell r="A1050">
            <v>506</v>
          </cell>
          <cell r="D1050" t="str">
            <v>False</v>
          </cell>
          <cell r="E1050" t="str">
            <v>BOVERSPREM</v>
          </cell>
        </row>
        <row r="1051">
          <cell r="A1051">
            <v>682</v>
          </cell>
          <cell r="D1051" t="str">
            <v>False</v>
          </cell>
          <cell r="E1051" t="str">
            <v>VERSP</v>
          </cell>
        </row>
        <row r="1052">
          <cell r="A1052">
            <v>1020</v>
          </cell>
          <cell r="D1052" t="str">
            <v>False</v>
          </cell>
          <cell r="E1052" t="str">
            <v>BECKVFPREM</v>
          </cell>
        </row>
        <row r="1053">
          <cell r="A1053">
            <v>981</v>
          </cell>
          <cell r="D1053" t="str">
            <v>False</v>
          </cell>
          <cell r="E1053" t="str">
            <v>BOVTRP</v>
          </cell>
        </row>
        <row r="1054">
          <cell r="A1054">
            <v>1347</v>
          </cell>
          <cell r="D1054" t="str">
            <v>False</v>
          </cell>
          <cell r="E1054" t="str">
            <v>BOVTRPREM</v>
          </cell>
        </row>
        <row r="1055">
          <cell r="A1055">
            <v>626</v>
          </cell>
          <cell r="D1055" t="str">
            <v>False</v>
          </cell>
          <cell r="E1055" t="str">
            <v>AWVW</v>
          </cell>
        </row>
        <row r="1056">
          <cell r="A1056">
            <v>661</v>
          </cell>
          <cell r="D1056" t="str">
            <v>False</v>
          </cell>
          <cell r="E1056" t="str">
            <v>FJAVW</v>
          </cell>
        </row>
        <row r="1057">
          <cell r="A1057">
            <v>757</v>
          </cell>
          <cell r="D1057" t="str">
            <v>False</v>
          </cell>
          <cell r="E1057" t="str">
            <v>KHVW</v>
          </cell>
        </row>
        <row r="1058">
          <cell r="A1058">
            <v>1120</v>
          </cell>
          <cell r="D1058" t="str">
            <v>False</v>
          </cell>
          <cell r="E1058" t="str">
            <v>BOVWOPT</v>
          </cell>
        </row>
        <row r="1059">
          <cell r="A1059">
            <v>294</v>
          </cell>
          <cell r="D1059" t="str">
            <v>False</v>
          </cell>
          <cell r="E1059" t="str">
            <v>BOVWP</v>
          </cell>
        </row>
        <row r="1060">
          <cell r="A1060">
            <v>105</v>
          </cell>
          <cell r="D1060" t="str">
            <v>False</v>
          </cell>
          <cell r="E1060" t="str">
            <v>BOVWRP</v>
          </cell>
        </row>
        <row r="1061">
          <cell r="A1061">
            <v>845</v>
          </cell>
          <cell r="D1061" t="str">
            <v>False</v>
          </cell>
          <cell r="E1061" t="str">
            <v>BOVWPREM</v>
          </cell>
        </row>
        <row r="1062">
          <cell r="A1062">
            <v>357</v>
          </cell>
          <cell r="D1062" t="str">
            <v>False</v>
          </cell>
          <cell r="E1062" t="str">
            <v>VPBREM</v>
          </cell>
        </row>
        <row r="1063">
          <cell r="A1063">
            <v>855</v>
          </cell>
          <cell r="D1063" t="str">
            <v>True</v>
          </cell>
          <cell r="E1063" t="str">
            <v>WM-AUTOR</v>
          </cell>
        </row>
        <row r="1064">
          <cell r="A1064">
            <v>581</v>
          </cell>
          <cell r="D1064" t="str">
            <v>False</v>
          </cell>
          <cell r="E1064" t="str">
            <v>BOPREMDEWA</v>
          </cell>
        </row>
        <row r="1065">
          <cell r="A1065">
            <v>1235</v>
          </cell>
          <cell r="D1065" t="str">
            <v>False</v>
          </cell>
          <cell r="E1065" t="str">
            <v>CREI24</v>
          </cell>
        </row>
        <row r="1066">
          <cell r="A1066">
            <v>1455</v>
          </cell>
          <cell r="D1066" t="str">
            <v>False</v>
          </cell>
          <cell r="E1066" t="str">
            <v>CREI25</v>
          </cell>
        </row>
        <row r="1067">
          <cell r="A1067">
            <v>299</v>
          </cell>
          <cell r="D1067" t="str">
            <v>False</v>
          </cell>
          <cell r="E1067" t="str">
            <v>CREIP</v>
          </cell>
        </row>
        <row r="1068">
          <cell r="A1068">
            <v>609</v>
          </cell>
          <cell r="D1068" t="str">
            <v>True</v>
          </cell>
          <cell r="E1068" t="str">
            <v>WeDoHdbUnterhaltsR</v>
          </cell>
        </row>
        <row r="1069">
          <cell r="A1069">
            <v>411</v>
          </cell>
          <cell r="D1069" t="str">
            <v>True</v>
          </cell>
          <cell r="E1069" t="str">
            <v>WeStHdbUnterhaltsR</v>
          </cell>
        </row>
        <row r="1070">
          <cell r="A1070">
            <v>479</v>
          </cell>
          <cell r="D1070" t="str">
            <v>False</v>
          </cell>
          <cell r="E1070" t="str">
            <v>WEYP</v>
          </cell>
        </row>
        <row r="1071">
          <cell r="A1071">
            <v>600</v>
          </cell>
          <cell r="D1071" t="str">
            <v>False</v>
          </cell>
          <cell r="E1071" t="str">
            <v>VAWURBM</v>
          </cell>
        </row>
        <row r="1072">
          <cell r="A1072">
            <v>904</v>
          </cell>
          <cell r="D1072" t="str">
            <v>False</v>
          </cell>
          <cell r="E1072" t="str">
            <v>WDBANK</v>
          </cell>
        </row>
        <row r="1073">
          <cell r="A1073">
            <v>824</v>
          </cell>
          <cell r="D1073" t="str">
            <v>False</v>
          </cell>
          <cell r="E1073" t="str">
            <v>BOWPSP</v>
          </cell>
        </row>
        <row r="1074">
          <cell r="A1074">
            <v>827</v>
          </cell>
          <cell r="D1074" t="str">
            <v>False</v>
          </cell>
          <cell r="E1074" t="str">
            <v>BOWPSPREM</v>
          </cell>
        </row>
        <row r="1075">
          <cell r="A1075">
            <v>758</v>
          </cell>
          <cell r="D1075" t="str">
            <v>False</v>
          </cell>
          <cell r="E1075" t="str">
            <v>CFMWST</v>
          </cell>
        </row>
        <row r="1076">
          <cell r="A1076">
            <v>1239</v>
          </cell>
          <cell r="D1076" t="str">
            <v>False</v>
          </cell>
          <cell r="E1076" t="str">
            <v>BOWSTP</v>
          </cell>
        </row>
        <row r="1077">
          <cell r="A1077">
            <v>578</v>
          </cell>
          <cell r="D1077" t="str">
            <v>False</v>
          </cell>
          <cell r="E1077" t="str">
            <v>VAWISTP</v>
          </cell>
        </row>
        <row r="1078">
          <cell r="A1078">
            <v>665</v>
          </cell>
          <cell r="D1078" t="str">
            <v>False</v>
          </cell>
          <cell r="E1078" t="str">
            <v>WISTAR</v>
          </cell>
        </row>
        <row r="1079">
          <cell r="A1079">
            <v>841</v>
          </cell>
          <cell r="D1079" t="str">
            <v>True</v>
          </cell>
          <cell r="E1079" t="str">
            <v>WITTE-AUTO</v>
          </cell>
        </row>
        <row r="1080">
          <cell r="A1080">
            <v>211</v>
          </cell>
          <cell r="D1080" t="str">
            <v>False</v>
          </cell>
          <cell r="E1080" t="str">
            <v>WMP</v>
          </cell>
        </row>
        <row r="1081">
          <cell r="A1081">
            <v>1309</v>
          </cell>
          <cell r="D1081" t="str">
            <v>False</v>
          </cell>
          <cell r="E1081" t="str">
            <v>WMWUBP</v>
          </cell>
        </row>
        <row r="1082">
          <cell r="A1082">
            <v>693</v>
          </cell>
          <cell r="D1082" t="str">
            <v>False</v>
          </cell>
          <cell r="E1082" t="str">
            <v>WBKETGRS</v>
          </cell>
        </row>
        <row r="1083">
          <cell r="A1083">
            <v>520</v>
          </cell>
          <cell r="D1083" t="str">
            <v>False</v>
          </cell>
          <cell r="E1083" t="str">
            <v>WUBP</v>
          </cell>
        </row>
        <row r="1084">
          <cell r="A1084">
            <v>934</v>
          </cell>
          <cell r="D1084" t="str">
            <v>False</v>
          </cell>
          <cell r="E1084" t="str">
            <v>ZAPP</v>
          </cell>
        </row>
        <row r="1085">
          <cell r="A1085">
            <v>821</v>
          </cell>
          <cell r="D1085" t="str">
            <v>False</v>
          </cell>
          <cell r="E1085" t="str">
            <v>ZARDIR</v>
          </cell>
        </row>
        <row r="1086">
          <cell r="A1086">
            <v>1316</v>
          </cell>
          <cell r="D1086" t="str">
            <v>False</v>
          </cell>
          <cell r="E1086" t="str">
            <v>ZASADIR</v>
          </cell>
        </row>
        <row r="1087">
          <cell r="A1087">
            <v>1376</v>
          </cell>
          <cell r="D1087" t="str">
            <v>True</v>
          </cell>
          <cell r="E1087" t="str">
            <v>ZDAPP</v>
          </cell>
        </row>
        <row r="1088">
          <cell r="A1088">
            <v>596</v>
          </cell>
          <cell r="D1088" t="str">
            <v>False</v>
          </cell>
          <cell r="E1088" t="str">
            <v>ZDDIR</v>
          </cell>
        </row>
        <row r="1089">
          <cell r="A1089">
            <v>121</v>
          </cell>
          <cell r="D1089" t="str">
            <v>True</v>
          </cell>
          <cell r="E1089" t="str">
            <v>BKR-INTRA</v>
          </cell>
        </row>
        <row r="1090">
          <cell r="A1090">
            <v>591</v>
          </cell>
          <cell r="D1090" t="str">
            <v>False</v>
          </cell>
          <cell r="E1090" t="str">
            <v>BOZERBP</v>
          </cell>
        </row>
        <row r="1091">
          <cell r="A1091">
            <v>236</v>
          </cell>
          <cell r="D1091" t="str">
            <v>False</v>
          </cell>
          <cell r="E1091" t="str">
            <v>ZERBP</v>
          </cell>
        </row>
        <row r="1092">
          <cell r="A1092">
            <v>18</v>
          </cell>
          <cell r="D1092" t="str">
            <v>False</v>
          </cell>
          <cell r="E1092" t="str">
            <v>ZEVP</v>
          </cell>
        </row>
        <row r="1093">
          <cell r="A1093">
            <v>1188</v>
          </cell>
          <cell r="D1093" t="str">
            <v>False</v>
          </cell>
          <cell r="E1093" t="str">
            <v>ZEVDIR</v>
          </cell>
        </row>
        <row r="1094">
          <cell r="A1094">
            <v>1201</v>
          </cell>
          <cell r="D1094" t="str">
            <v>False</v>
          </cell>
          <cell r="E1094" t="str">
            <v>ZFDRDIR</v>
          </cell>
        </row>
        <row r="1095">
          <cell r="A1095">
            <v>1263</v>
          </cell>
          <cell r="D1095" t="str">
            <v>False</v>
          </cell>
          <cell r="E1095" t="str">
            <v>ZFPCDIR</v>
          </cell>
        </row>
        <row r="1096">
          <cell r="A1096">
            <v>819</v>
          </cell>
          <cell r="D1096" t="str">
            <v>False</v>
          </cell>
          <cell r="E1096" t="str">
            <v>ZFPWDIR</v>
          </cell>
        </row>
        <row r="1097">
          <cell r="A1097">
            <v>908</v>
          </cell>
          <cell r="D1097" t="str">
            <v>False</v>
          </cell>
          <cell r="E1097" t="str">
            <v>ZFUP</v>
          </cell>
        </row>
        <row r="1098">
          <cell r="A1098">
            <v>894</v>
          </cell>
          <cell r="D1098" t="str">
            <v>False</v>
          </cell>
          <cell r="E1098" t="str">
            <v>ZFWGP</v>
          </cell>
        </row>
        <row r="1099">
          <cell r="A1099">
            <v>1233</v>
          </cell>
          <cell r="D1099" t="str">
            <v>False</v>
          </cell>
          <cell r="E1099" t="str">
            <v>ZGIDIR</v>
          </cell>
        </row>
        <row r="1100">
          <cell r="A1100">
            <v>905</v>
          </cell>
          <cell r="D1100" t="str">
            <v>False</v>
          </cell>
          <cell r="E1100" t="str">
            <v>ZHRP</v>
          </cell>
        </row>
        <row r="1101">
          <cell r="A1101">
            <v>1199</v>
          </cell>
          <cell r="D1101" t="str">
            <v>False</v>
          </cell>
          <cell r="E1101" t="str">
            <v>ZIPF21</v>
          </cell>
        </row>
        <row r="1102">
          <cell r="A1102">
            <v>1052</v>
          </cell>
          <cell r="D1102" t="str">
            <v>False</v>
          </cell>
          <cell r="E1102" t="str">
            <v>MSZPR</v>
          </cell>
        </row>
        <row r="1103">
          <cell r="A1103">
            <v>271</v>
          </cell>
          <cell r="D1103" t="str">
            <v>False</v>
          </cell>
          <cell r="E1103" t="str">
            <v>AWZIV</v>
          </cell>
        </row>
        <row r="1104">
          <cell r="A1104">
            <v>1449</v>
          </cell>
          <cell r="D1104" t="str">
            <v>False</v>
          </cell>
          <cell r="E1104" t="str">
            <v>BOZIVOPTN</v>
          </cell>
        </row>
        <row r="1105">
          <cell r="A1105">
            <v>1217</v>
          </cell>
          <cell r="D1105" t="str">
            <v>False</v>
          </cell>
          <cell r="E1105" t="str">
            <v>BOZIVOPT</v>
          </cell>
        </row>
        <row r="1106">
          <cell r="A1106">
            <v>1218</v>
          </cell>
          <cell r="D1106" t="str">
            <v>False</v>
          </cell>
          <cell r="E1106" t="str">
            <v>BOZIVOPTINT</v>
          </cell>
        </row>
        <row r="1107">
          <cell r="A1107">
            <v>1447</v>
          </cell>
          <cell r="D1107" t="str">
            <v>False</v>
          </cell>
          <cell r="E1107" t="str">
            <v>BOZIVPN</v>
          </cell>
        </row>
        <row r="1108">
          <cell r="A1108">
            <v>11</v>
          </cell>
          <cell r="D1108" t="str">
            <v>False</v>
          </cell>
          <cell r="E1108" t="str">
            <v>BOZIVP</v>
          </cell>
        </row>
        <row r="1109">
          <cell r="A1109">
            <v>1448</v>
          </cell>
          <cell r="D1109" t="str">
            <v>False</v>
          </cell>
          <cell r="E1109" t="str">
            <v>BOZIVPRN</v>
          </cell>
        </row>
        <row r="1110">
          <cell r="A1110">
            <v>373</v>
          </cell>
          <cell r="D1110" t="str">
            <v>False</v>
          </cell>
          <cell r="E1110" t="str">
            <v>BOZIVPREM</v>
          </cell>
        </row>
        <row r="1111">
          <cell r="A1111">
            <v>554</v>
          </cell>
          <cell r="D1111" t="str">
            <v>False</v>
          </cell>
          <cell r="E1111" t="str">
            <v>BOZIVPRINT</v>
          </cell>
        </row>
        <row r="1112">
          <cell r="A1112">
            <v>976</v>
          </cell>
          <cell r="D1112" t="str">
            <v>False</v>
          </cell>
          <cell r="E1112" t="str">
            <v>SYNZIV</v>
          </cell>
        </row>
        <row r="1113">
          <cell r="A1113">
            <v>175</v>
          </cell>
          <cell r="D1113" t="str">
            <v>True</v>
          </cell>
          <cell r="E1113" t="str">
            <v>ZIVRBEIRAT</v>
          </cell>
        </row>
        <row r="1114">
          <cell r="A1114">
            <v>1123</v>
          </cell>
          <cell r="D1114" t="str">
            <v>False</v>
          </cell>
          <cell r="E1114" t="str">
            <v>BOZAURP</v>
          </cell>
        </row>
        <row r="1115">
          <cell r="A1115">
            <v>1305</v>
          </cell>
          <cell r="D1115" t="str">
            <v>False</v>
          </cell>
          <cell r="E1115" t="str">
            <v>ZPGDIR</v>
          </cell>
        </row>
        <row r="1116">
          <cell r="A1116">
            <v>829</v>
          </cell>
          <cell r="D1116" t="str">
            <v>False</v>
          </cell>
          <cell r="E1116" t="str">
            <v>ZSTVDIR</v>
          </cell>
        </row>
        <row r="1117">
          <cell r="A1117">
            <v>283</v>
          </cell>
          <cell r="D1117" t="str">
            <v>False</v>
          </cell>
          <cell r="E1117" t="str">
            <v>ZUMP</v>
          </cell>
        </row>
        <row r="1118">
          <cell r="A1118">
            <v>825</v>
          </cell>
          <cell r="D1118" t="str">
            <v>False</v>
          </cell>
          <cell r="E1118" t="str">
            <v>ZURDIR</v>
          </cell>
        </row>
        <row r="1119">
          <cell r="A1119">
            <v>624</v>
          </cell>
          <cell r="D1119" t="str">
            <v>False</v>
          </cell>
          <cell r="E1119" t="str">
            <v>ZVRDIR</v>
          </cell>
        </row>
        <row r="1120">
          <cell r="A1120">
            <v>911</v>
          </cell>
          <cell r="D1120" t="str">
            <v>False</v>
          </cell>
          <cell r="E1120" t="str">
            <v>ZVGLRP</v>
          </cell>
        </row>
        <row r="1121">
          <cell r="A1121">
            <v>1130</v>
          </cell>
          <cell r="D1121" t="str">
            <v>False</v>
          </cell>
          <cell r="E1121" t="str">
            <v>BOZVGP</v>
          </cell>
        </row>
        <row r="1122">
          <cell r="A1122">
            <v>1440</v>
          </cell>
          <cell r="D1122" t="str">
            <v>False</v>
          </cell>
          <cell r="E1122" t="str">
            <v>ZWEPE</v>
          </cell>
        </row>
        <row r="1123">
          <cell r="A1123">
            <v>893</v>
          </cell>
          <cell r="D1123" t="str">
            <v>False</v>
          </cell>
          <cell r="E1123" t="str">
            <v>ZWEDIR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5AADD-AD06-D446-AC0F-76288CC039AB}" name="ClusteringSummary2025" displayName="ClusteringSummary2025" ref="A6:I20" totalsRowShown="0" headerRowDxfId="94" dataDxfId="93">
  <autoFilter ref="A6:I20" xr:uid="{9805AADD-AD06-D446-AC0F-76288CC039AB}"/>
  <tableColumns count="9">
    <tableColumn id="1" xr3:uid="{A388A76E-B413-F147-A362-28E1CA1A4EAE}" name="Cluster" dataDxfId="92"/>
    <tableColumn id="2" xr3:uid="{E90B8517-43E5-2142-8D8D-003714CC7E10}" name="Module mit Umsatz 2025" dataDxfId="91"/>
    <tableColumn id="3" xr3:uid="{5109BBA2-36C5-1743-9911-005C37A033C9}" name="Umsatz 2025" dataDxfId="90"/>
    <tableColumn id="4" xr3:uid="{92CF223E-FF77-254A-ACDE-2A70044057D1}" name="PLUS" dataDxfId="89"/>
    <tableColumn id="5" xr3:uid="{42161B25-4D05-7F4C-A038-77E7FE3548C7}" name="PREMIUM" dataDxfId="88"/>
    <tableColumn id="6" xr3:uid="{D6936285-D303-BF4D-B1D2-16AD6E1B2230}" name="OPTIMUM" dataDxfId="87"/>
    <tableColumn id="7" xr3:uid="{1AD10CF0-2F4D-D445-BF06-88259FE0F4B2}" name="ohne klare Tier-Logik" dataDxfId="86"/>
    <tableColumn id="8" xr3:uid="{ADA62599-2F8D-4043-936E-6625CB7F4119}" name="Top-Beispiele" dataDxfId="85"/>
    <tableColumn id="9" xr3:uid="{3118C97D-8C53-CB4A-AFEA-DA6AC702F0A9}" name="3er-Logik vorhanden?" dataDxfId="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3FAE92-5D19-4548-BC6B-CA2B26DE1BEB}" name="ClusteringTarget2025" displayName="ClusteringTarget2025" ref="A23:F65" totalsRowShown="0" headerRowDxfId="83" dataDxfId="82">
  <autoFilter ref="A23:F65" xr:uid="{5B3FAE92-5D19-4548-BC6B-CA2B26DE1BEB}"/>
  <tableColumns count="6">
    <tableColumn id="1" xr3:uid="{D753F847-4C6B-8B48-8F2F-808CCCFAE15F}" name="Cluster" dataDxfId="81"/>
    <tableColumn id="2" xr3:uid="{506251E7-1E28-9040-884F-32F4CF1B46D4}" name="Ziel-Tier" dataDxfId="80"/>
    <tableColumn id="3" xr3:uid="{99D25706-E461-8C4F-B5CD-12F6C0CEB1C2}" name="Zielprodukt" dataDxfId="79"/>
    <tableColumn id="4" xr3:uid="{07B6DE05-F04B-8048-992D-9EF4824228F3}" name="Status im Bestand" dataDxfId="78"/>
    <tableColumn id="5" xr3:uid="{B7720FAD-9292-014D-8598-25D50A4522F5}" name="Umsatz 2025 im Tier" dataDxfId="77"/>
    <tableColumn id="6" xr3:uid="{892E9096-CDFD-6D48-8FC6-D93E66457ED2}" name="Anzahl Quellmodule im Tier" dataDxfId="7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296999-CD06-FB4E-ABF1-96F4D6706450}" name="ClusteringMapping2025" displayName="ClusteringMapping2025" ref="A68:G448" totalsRowShown="0" headerRowDxfId="75" dataDxfId="74">
  <autoFilter ref="A68:G448" xr:uid="{33296999-CD06-FB4E-ABF1-96F4D6706450}"/>
  <tableColumns count="7">
    <tableColumn id="1" xr3:uid="{41DADA16-6C0C-A643-9F5A-70695D69E8F3}" name="Modul-Nr." dataDxfId="73"/>
    <tableColumn id="2" xr3:uid="{CD5EEA71-3E52-4742-95F2-019BC10DFDEB}" name="Kürzel" dataDxfId="72"/>
    <tableColumn id="3" xr3:uid="{32EEF662-A8AE-4544-9061-E61FCF7CF54A}" name="Bezeichnung" dataDxfId="71"/>
    <tableColumn id="4" xr3:uid="{6D8256B8-EA5E-6E45-9391-DA73A0E19A90}" name="Umsatz 2025" dataDxfId="70"/>
    <tableColumn id="5" xr3:uid="{07DB67B8-6FD4-EF4E-89B1-2785599FA8FF}" name="Ziel-Cluster" dataDxfId="69"/>
    <tableColumn id="6" xr3:uid="{DF5BD1BC-AE6E-E146-8F80-7B70FD8F88BF}" name="Tier erkannt" dataDxfId="68"/>
    <tableColumn id="7" xr3:uid="{DA0D4C1A-351A-D647-885E-82F67C3E3CA2}" name="Zielprodukt" dataDxfId="67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F3498D-1CB6-204E-A5A5-56524579DD35}" name="MapUebergreifend" displayName="MapUebergreifend" ref="S44:T50" totalsRowShown="0" headerRowDxfId="66" dataDxfId="65">
  <autoFilter ref="S44:T50" xr:uid="{49F3498D-1CB6-204E-A5A5-56524579DD35}"/>
  <tableColumns count="2">
    <tableColumn id="1" xr3:uid="{B8CEBC65-32FF-494E-A6CC-BE824392EED3}" name="Rechtsgebiet alt" dataDxfId="64"/>
    <tableColumn id="2" xr3:uid="{CFEEDA1C-DE43-8449-9DE7-6BEB9E4C4EDC}" name="Clusterzuordnung neu (#)" dataDxfId="6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AD03B9-2CEF-6343-A156-0ED23BDE88A8}" name="MapBuergerlichesRecht5" displayName="MapBuergerlichesRecht5" ref="P4:Q12" totalsRowShown="0" headerRowDxfId="62" dataDxfId="61">
  <autoFilter ref="P4:Q12" xr:uid="{42AD03B9-2CEF-6343-A156-0ED23BDE88A8}"/>
  <tableColumns count="2">
    <tableColumn id="1" xr3:uid="{A9062E58-9252-004B-9818-312CB4DC33A7}" name="Rechtsgebiet alt" dataDxfId="60"/>
    <tableColumn id="2" xr3:uid="{68A64344-6EDE-114B-9E24-04ADA4A389B9}" name="Clusterzuordnung neu (#)" dataDxfId="5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16DC3A5-F118-814A-8D8E-7870166E20C7}" name="MapZivilInsoNotar20" displayName="MapZivilInsoNotar20" ref="P15:Q23" totalsRowShown="0" headerRowDxfId="58" dataDxfId="57">
  <autoFilter ref="P15:Q23" xr:uid="{C16DC3A5-F118-814A-8D8E-7870166E20C7}"/>
  <tableColumns count="2">
    <tableColumn id="1" xr3:uid="{F59410F8-75C9-754E-93D7-290A70946201}" name="Rechtsgebiet alt" dataDxfId="56"/>
    <tableColumn id="2" xr3:uid="{EEE386C6-BDE3-F942-A9FA-4439782E6044}" name="Clusterzuordnung neu (#)" dataDxfId="5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3FFBC09-D587-8648-9E88-06BDADA6404A}" name="MapSteuerBilanz22" displayName="MapSteuerBilanz22" ref="P40:Q46" totalsRowShown="0" headerRowDxfId="54" dataDxfId="53">
  <autoFilter ref="P40:Q46" xr:uid="{A3FFBC09-D587-8648-9E88-06BDADA6404A}"/>
  <tableColumns count="2">
    <tableColumn id="1" xr3:uid="{FCBB26B8-94E8-7241-B80E-5FB83E301869}" name="Rechtsgebiet alt" dataDxfId="52"/>
    <tableColumn id="2" xr3:uid="{46813A07-4EEB-724F-8B4E-0C0AC82CFDE1}" name="Clusterzuordnung neu (#)" dataDxfId="5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5EFCE7C-42EA-8D43-854A-97EF0A54D796}" name="MapOeffentlichesRecht23" displayName="MapOeffentlichesRecht23" ref="P26:Q37" totalsRowShown="0" headerRowDxfId="50" dataDxfId="49">
  <autoFilter ref="P26:Q37" xr:uid="{D5EFCE7C-42EA-8D43-854A-97EF0A54D796}"/>
  <tableColumns count="2">
    <tableColumn id="1" xr3:uid="{B00D3D89-051F-CD42-BB24-E99FE28C9E25}" name="Rechtsgebiet alt" dataDxfId="48"/>
    <tableColumn id="2" xr3:uid="{E9888671-2069-5246-90C4-DDA27A11D0FA}" name="Clusterzuordnung neu (#)" dataDxfId="4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32D339D-EFB9-5F47-8BFD-103F927181FB}" name="MapHGRWirtschaft24" displayName="MapHGRWirtschaft24" ref="S4:T12" totalsRowShown="0" headerRowDxfId="46" dataDxfId="45">
  <autoFilter ref="S4:T12" xr:uid="{332D339D-EFB9-5F47-8BFD-103F927181FB}"/>
  <tableColumns count="2">
    <tableColumn id="1" xr3:uid="{176ADC2F-7C66-E847-84A0-FB0423FD3B74}" name="Rechtsgebiet alt" dataDxfId="44"/>
    <tableColumn id="2" xr3:uid="{AFA3BA57-8C5D-184F-8E9C-4BCC3E8A54BC}" name="Clusterzuordnung neu (#)" dataDxfId="4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B56D09B-C38D-E648-A6E2-6D92A1317901}" name="MapArbeitsrecht25" displayName="MapArbeitsrecht25" ref="S15:T22" totalsRowShown="0" headerRowDxfId="42" dataDxfId="41">
  <autoFilter ref="S15:T22" xr:uid="{4B56D09B-C38D-E648-A6E2-6D92A1317901}"/>
  <tableColumns count="2">
    <tableColumn id="1" xr3:uid="{BE96EDE0-9527-404D-83C4-DBA25FB4C025}" name="Rechtsgebiet alt" dataDxfId="40"/>
    <tableColumn id="2" xr3:uid="{330E6D49-4197-9E47-8EB0-3E574C772CB2}" name="Clusterzuordnung neu (#)" dataDxfId="3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11A5D31-EF06-E845-A46F-EB2CD5294128}" name="MapSozialrecht26" displayName="MapSozialrecht26" ref="S26:T31" totalsRowShown="0" headerRowDxfId="38" dataDxfId="37">
  <autoFilter ref="S26:T31" xr:uid="{411A5D31-EF06-E845-A46F-EB2CD5294128}"/>
  <tableColumns count="2">
    <tableColumn id="1" xr3:uid="{5AA2A553-2336-894B-B94E-569130D5A9ED}" name="Rechtsgebiet alt" dataDxfId="36"/>
    <tableColumn id="2" xr3:uid="{EE295850-E6A2-0E42-B183-176C155D20B4}" name="Clusterzuordnung neu (#)" dataDxfId="3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BD703D0-6773-C343-9C34-30CE213B51DC}" name="MapSozialrecht1827" displayName="MapSozialrecht1827" ref="S34:T36" totalsRowShown="0" headerRowDxfId="34" dataDxfId="33">
  <autoFilter ref="S34:T36" xr:uid="{2BD703D0-6773-C343-9C34-30CE213B51DC}"/>
  <tableColumns count="2">
    <tableColumn id="1" xr3:uid="{FC8BCE17-4C5A-FD4D-B314-18CDCAC1C9C4}" name="Rechtsgebiet alt" dataDxfId="32"/>
    <tableColumn id="2" xr3:uid="{CBC688F2-82BB-B14D-92B1-A48F1B02DB87}" name="Clusterzuordnung neu (#)" dataDxfId="3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AE33C47-3C5D-FC47-9334-CE2B3D25DB40}" name="MapSozialrecht181928" displayName="MapSozialrecht181928" ref="S39:T41" totalsRowShown="0" headerRowDxfId="30" dataDxfId="29">
  <autoFilter ref="S39:T41" xr:uid="{7AE33C47-3C5D-FC47-9334-CE2B3D25DB40}"/>
  <tableColumns count="2">
    <tableColumn id="1" xr3:uid="{A81D5D80-AA09-AD4D-9CF2-1ABFB05645DC}" name="Rechtsgebiet alt" dataDxfId="28"/>
    <tableColumn id="2" xr3:uid="{32F4BD85-5B19-2749-9DF9-1D7909BD098F}" name="Clusterzuordnung neu (#)" dataDxfId="2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439CA0-67CB-0C4B-AAD3-C115D273483F}" name="MapBestandsmoduleZielV1" displayName="MapBestandsmoduleZielV1" ref="A68:K420" totalsRowShown="0">
  <autoFilter ref="A68:K420" xr:uid="{AD439CA0-67CB-0C4B-AAD3-C115D273483F}"/>
  <tableColumns count="11">
    <tableColumn id="1" xr3:uid="{9CEE625D-25FB-5748-94F5-4407877488CE}" name="Cluster #" dataDxfId="26"/>
    <tableColumn id="2" xr3:uid="{DD4D51C4-B9FB-6B4D-8B7E-6D0286FDE14C}" name="Zielmodul neu"/>
    <tableColumn id="3" xr3:uid="{79925FA7-6396-DD41-9B72-F4FDC0075594}" name="Tier neu"/>
    <tableColumn id="4" xr3:uid="{E83289E1-8374-9F4D-8DA2-CCA2D382BD58}" name="Modul-Nr."/>
    <tableColumn id="5" xr3:uid="{27A1BE78-A806-1845-8744-4D9EEFAAFE8E}" name="Kürzel"/>
    <tableColumn id="6" xr3:uid="{4C7D06B1-0E8A-F347-9B9C-A9A8A02835C1}" name="Bisheriges Modul"/>
    <tableColumn id="7" xr3:uid="{C2E797FC-F4F1-8249-BC81-70EDD57E9211}" name="2021" dataDxfId="25"/>
    <tableColumn id="8" xr3:uid="{3D195267-23DE-3442-A89A-06F7339DD8E1}" name="2022" dataDxfId="24"/>
    <tableColumn id="9" xr3:uid="{A2845E8C-506A-564F-93F1-E1848EAA2182}" name="2023" dataDxfId="23"/>
    <tableColumn id="10" xr3:uid="{417309BD-1932-5A4C-92E0-4E58E8C07082}" name="2024" dataDxfId="22"/>
    <tableColumn id="11" xr3:uid="{6CCEAEE5-87A0-A847-897F-184C38F5F01F}" name="2025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989A-D428-4A23-943C-47E03D9FA1AB}">
  <dimension ref="A1:J76"/>
  <sheetViews>
    <sheetView zoomScaleNormal="100" workbookViewId="0">
      <selection activeCell="H9" sqref="H9"/>
    </sheetView>
  </sheetViews>
  <sheetFormatPr baseColWidth="10" defaultColWidth="11.5" defaultRowHeight="15" x14ac:dyDescent="0.2"/>
  <cols>
    <col min="1" max="1" width="27.5" bestFit="1" customWidth="1"/>
    <col min="7" max="7" width="66.33203125" bestFit="1" customWidth="1"/>
    <col min="8" max="8" width="18.1640625" bestFit="1" customWidth="1"/>
    <col min="9" max="9" width="5.6640625" customWidth="1"/>
    <col min="10" max="10" width="41.1640625" bestFit="1" customWidth="1"/>
    <col min="11" max="11" width="22.1640625" customWidth="1"/>
    <col min="12" max="12" width="3" bestFit="1" customWidth="1"/>
    <col min="14" max="14" width="12.6640625" bestFit="1" customWidth="1"/>
  </cols>
  <sheetData>
    <row r="1" spans="1:10" ht="30" customHeight="1" thickBot="1" x14ac:dyDescent="0.25">
      <c r="A1" s="22" t="s">
        <v>0</v>
      </c>
      <c r="B1" s="23"/>
      <c r="C1" s="23"/>
      <c r="D1" s="23"/>
      <c r="E1" s="23"/>
      <c r="F1" s="24"/>
    </row>
    <row r="2" spans="1:10" ht="16" thickBot="1" x14ac:dyDescent="0.25">
      <c r="F2" t="s">
        <v>1</v>
      </c>
    </row>
    <row r="3" spans="1:10" x14ac:dyDescent="0.2">
      <c r="A3" s="10" t="s">
        <v>2</v>
      </c>
      <c r="B3" s="11">
        <v>2021</v>
      </c>
      <c r="C3" s="11">
        <v>2022</v>
      </c>
      <c r="D3" s="11">
        <v>2023</v>
      </c>
      <c r="E3" s="11">
        <v>2024</v>
      </c>
      <c r="F3" s="12">
        <v>2025</v>
      </c>
      <c r="G3" s="66" t="s">
        <v>3</v>
      </c>
      <c r="H3" s="66" t="s">
        <v>4</v>
      </c>
      <c r="J3" s="66" t="s">
        <v>5</v>
      </c>
    </row>
    <row r="4" spans="1:10" x14ac:dyDescent="0.2">
      <c r="A4" s="1" t="s">
        <v>6</v>
      </c>
      <c r="B4" s="2">
        <v>68818.311279999994</v>
      </c>
      <c r="C4" s="2">
        <v>63606.997649999998</v>
      </c>
      <c r="D4" s="2">
        <v>61207.503530000002</v>
      </c>
      <c r="E4" s="2">
        <v>59831.222390000003</v>
      </c>
      <c r="F4" s="3">
        <v>57167.606680000004</v>
      </c>
    </row>
    <row r="5" spans="1:10" x14ac:dyDescent="0.2">
      <c r="A5" s="1" t="s">
        <v>7</v>
      </c>
      <c r="B5" s="2">
        <v>29187.292289999994</v>
      </c>
      <c r="C5" s="2">
        <v>28768.286259999997</v>
      </c>
      <c r="D5" s="2">
        <v>28031.91848</v>
      </c>
      <c r="E5" s="2">
        <v>27022.522579999997</v>
      </c>
      <c r="F5" s="3">
        <v>24674.206979999995</v>
      </c>
      <c r="H5" t="s">
        <v>8</v>
      </c>
      <c r="J5" t="s">
        <v>9</v>
      </c>
    </row>
    <row r="6" spans="1:10" x14ac:dyDescent="0.2">
      <c r="A6" s="1" t="s">
        <v>10</v>
      </c>
      <c r="B6" s="2">
        <v>19885.228229999997</v>
      </c>
      <c r="C6" s="2">
        <v>17816.562859999998</v>
      </c>
      <c r="D6" s="2">
        <v>21621.78383</v>
      </c>
      <c r="E6" s="2">
        <v>18646.061590000001</v>
      </c>
      <c r="F6" s="3">
        <v>21899.784859999996</v>
      </c>
    </row>
    <row r="7" spans="1:10" x14ac:dyDescent="0.2">
      <c r="A7" s="1" t="s">
        <v>11</v>
      </c>
      <c r="B7" s="2">
        <v>145798.49844999998</v>
      </c>
      <c r="C7" s="2">
        <v>164672.35143000004</v>
      </c>
      <c r="D7" s="2">
        <v>188779.63509</v>
      </c>
      <c r="E7" s="2">
        <v>210220.95822</v>
      </c>
      <c r="F7" s="3">
        <v>237116.45183999999</v>
      </c>
      <c r="G7" t="s">
        <v>12</v>
      </c>
      <c r="H7" t="s">
        <v>13</v>
      </c>
    </row>
    <row r="8" spans="1:10" x14ac:dyDescent="0.2">
      <c r="A8" s="4" t="s">
        <v>14</v>
      </c>
      <c r="B8" s="5">
        <f>B17</f>
        <v>3255.5627599999993</v>
      </c>
      <c r="C8" s="5">
        <f t="shared" ref="C8:F8" si="0">C17</f>
        <v>3551.2012500000001</v>
      </c>
      <c r="D8" s="5">
        <f t="shared" si="0"/>
        <v>3881.7249400000014</v>
      </c>
      <c r="E8" s="5">
        <f t="shared" si="0"/>
        <v>4293.222279999999</v>
      </c>
      <c r="F8" s="6">
        <f t="shared" si="0"/>
        <v>4597.1969800000006</v>
      </c>
    </row>
    <row r="9" spans="1:10" x14ac:dyDescent="0.2">
      <c r="A9" s="1" t="s">
        <v>15</v>
      </c>
      <c r="B9" s="2">
        <v>0</v>
      </c>
      <c r="C9" s="2">
        <v>0</v>
      </c>
      <c r="D9" s="2">
        <v>0</v>
      </c>
      <c r="E9" s="2">
        <v>0</v>
      </c>
      <c r="F9" s="3">
        <v>0</v>
      </c>
      <c r="H9" t="s">
        <v>16</v>
      </c>
    </row>
    <row r="10" spans="1:10" x14ac:dyDescent="0.2">
      <c r="A10" s="1" t="s">
        <v>17</v>
      </c>
      <c r="B10" s="2">
        <v>1390.11538</v>
      </c>
      <c r="C10" s="2">
        <v>1206.9621000000002</v>
      </c>
      <c r="D10" s="2">
        <v>760.33986999999991</v>
      </c>
      <c r="E10" s="2">
        <v>1003.1449899999999</v>
      </c>
      <c r="F10" s="3">
        <v>902.92743000000007</v>
      </c>
    </row>
    <row r="11" spans="1:10" x14ac:dyDescent="0.2">
      <c r="A11" s="1" t="s">
        <v>18</v>
      </c>
      <c r="B11" s="2">
        <v>5771.3298700000005</v>
      </c>
      <c r="C11" s="2">
        <v>6869.5709500000003</v>
      </c>
      <c r="D11" s="2">
        <v>8890.3212600000006</v>
      </c>
      <c r="E11" s="2">
        <v>9447.8666699999994</v>
      </c>
      <c r="F11" s="3">
        <v>9161.1586199999983</v>
      </c>
      <c r="H11" t="s">
        <v>19</v>
      </c>
      <c r="J11" t="s">
        <v>20</v>
      </c>
    </row>
    <row r="12" spans="1:10" ht="16" thickBot="1" x14ac:dyDescent="0.25">
      <c r="A12" s="16" t="s">
        <v>21</v>
      </c>
      <c r="B12" s="17">
        <f>SUM(B4:B7,B9:B11)</f>
        <v>270850.77549999999</v>
      </c>
      <c r="C12" s="17">
        <f>SUM(C4:C7,C9:C11)</f>
        <v>282940.73125000007</v>
      </c>
      <c r="D12" s="17">
        <f>SUM(D4:D7,D9:D11)</f>
        <v>309291.50206000003</v>
      </c>
      <c r="E12" s="17">
        <f>SUM(E4:E7,E9:E11)</f>
        <v>326171.77643999999</v>
      </c>
      <c r="F12" s="18">
        <f>SUM(F4:F7,F9:F11)</f>
        <v>350922.13640999998</v>
      </c>
    </row>
    <row r="13" spans="1:10" ht="16" thickBot="1" x14ac:dyDescent="0.25"/>
    <row r="14" spans="1:10" x14ac:dyDescent="0.2">
      <c r="A14" s="10" t="s">
        <v>2</v>
      </c>
      <c r="B14" s="11">
        <v>2021</v>
      </c>
      <c r="C14" s="11">
        <v>2022</v>
      </c>
      <c r="D14" s="11">
        <v>2023</v>
      </c>
      <c r="E14" s="11">
        <v>2024</v>
      </c>
      <c r="F14" s="12">
        <v>2025</v>
      </c>
    </row>
    <row r="15" spans="1:10" x14ac:dyDescent="0.2">
      <c r="A15" s="13" t="s">
        <v>22</v>
      </c>
      <c r="B15" s="14">
        <v>4710.3506200000002</v>
      </c>
      <c r="C15" s="14">
        <v>3969.80242</v>
      </c>
      <c r="D15" s="14">
        <v>3349.3721600000003</v>
      </c>
      <c r="E15" s="14">
        <v>3339.3343</v>
      </c>
      <c r="F15" s="15">
        <v>2699.5504799999999</v>
      </c>
    </row>
    <row r="16" spans="1:10" x14ac:dyDescent="0.2">
      <c r="A16" s="7" t="s">
        <v>23</v>
      </c>
      <c r="B16" s="8">
        <v>3713.4360600000005</v>
      </c>
      <c r="C16" s="8">
        <v>6039.0611699999999</v>
      </c>
      <c r="D16" s="8">
        <v>3582.0986399999997</v>
      </c>
      <c r="E16" s="8">
        <v>3957.03015</v>
      </c>
      <c r="F16" s="9">
        <v>2864.8106200000007</v>
      </c>
    </row>
    <row r="17" spans="1:8" x14ac:dyDescent="0.2">
      <c r="A17" s="7" t="s">
        <v>11</v>
      </c>
      <c r="B17" s="8">
        <v>3255.5627599999993</v>
      </c>
      <c r="C17" s="8">
        <v>3551.2012500000001</v>
      </c>
      <c r="D17" s="8">
        <v>3881.7249400000014</v>
      </c>
      <c r="E17" s="8">
        <v>4293.222279999999</v>
      </c>
      <c r="F17" s="9">
        <v>4597.1969800000006</v>
      </c>
      <c r="G17" t="s">
        <v>24</v>
      </c>
    </row>
    <row r="18" spans="1:8" x14ac:dyDescent="0.2">
      <c r="A18" s="19" t="s">
        <v>25</v>
      </c>
      <c r="B18" s="20">
        <v>21.07</v>
      </c>
      <c r="C18" s="20">
        <v>-10.16</v>
      </c>
      <c r="D18" s="20">
        <v>-6.81</v>
      </c>
      <c r="E18" s="20">
        <v>14.7</v>
      </c>
      <c r="F18" s="21">
        <v>-3.65</v>
      </c>
    </row>
    <row r="19" spans="1:8" ht="16" thickBot="1" x14ac:dyDescent="0.25">
      <c r="A19" s="16" t="s">
        <v>26</v>
      </c>
      <c r="B19" s="17">
        <f>SUM(B15:B18)</f>
        <v>11700.41944</v>
      </c>
      <c r="C19" s="17">
        <f t="shared" ref="C19:F19" si="1">SUM(C15:C18)</f>
        <v>13549.904840000001</v>
      </c>
      <c r="D19" s="17">
        <f t="shared" si="1"/>
        <v>10806.385740000002</v>
      </c>
      <c r="E19" s="17">
        <f t="shared" si="1"/>
        <v>11604.28673</v>
      </c>
      <c r="F19" s="18">
        <f t="shared" si="1"/>
        <v>10157.908080000001</v>
      </c>
    </row>
    <row r="21" spans="1:8" ht="16" thickBot="1" x14ac:dyDescent="0.25"/>
    <row r="22" spans="1:8" ht="30" customHeight="1" thickBot="1" x14ac:dyDescent="0.25">
      <c r="A22" s="22" t="s">
        <v>27</v>
      </c>
      <c r="B22" s="23"/>
      <c r="C22" s="23"/>
      <c r="D22" s="23"/>
      <c r="E22" s="23"/>
      <c r="F22" s="24"/>
    </row>
    <row r="23" spans="1:8" ht="16" thickBot="1" x14ac:dyDescent="0.25"/>
    <row r="24" spans="1:8" x14ac:dyDescent="0.2">
      <c r="A24" s="10" t="s">
        <v>2</v>
      </c>
      <c r="B24" s="11">
        <v>2021</v>
      </c>
      <c r="C24" s="11">
        <v>2022</v>
      </c>
      <c r="D24" s="11">
        <v>2023</v>
      </c>
      <c r="E24" s="11">
        <v>2024</v>
      </c>
      <c r="F24" s="12">
        <v>2025</v>
      </c>
    </row>
    <row r="25" spans="1:8" x14ac:dyDescent="0.2">
      <c r="A25" s="25" t="s">
        <v>28</v>
      </c>
      <c r="B25" s="26">
        <v>149087.31481999997</v>
      </c>
      <c r="C25" s="26">
        <v>167725.12375999993</v>
      </c>
      <c r="D25" s="26">
        <v>190857.97278999953</v>
      </c>
      <c r="E25" s="26">
        <v>213752.9479804147</v>
      </c>
      <c r="F25" s="27">
        <v>240577.81422100865</v>
      </c>
      <c r="G25" t="s">
        <v>29</v>
      </c>
    </row>
    <row r="26" spans="1:8" x14ac:dyDescent="0.2">
      <c r="A26" s="28" t="s">
        <v>30</v>
      </c>
      <c r="B26" s="29">
        <v>23955.126677350177</v>
      </c>
      <c r="C26" s="29">
        <v>27932.620364234957</v>
      </c>
      <c r="D26" s="29">
        <v>32786.372707167975</v>
      </c>
      <c r="E26" s="29">
        <v>36356.770017619594</v>
      </c>
      <c r="F26" s="30">
        <v>43230.003570991779</v>
      </c>
    </row>
    <row r="27" spans="1:8" x14ac:dyDescent="0.2">
      <c r="A27" s="28" t="s">
        <v>31</v>
      </c>
      <c r="B27" s="29">
        <v>5623.9186021466685</v>
      </c>
      <c r="C27" s="29">
        <v>6947.7044107385282</v>
      </c>
      <c r="D27" s="29">
        <v>8845.2107108298296</v>
      </c>
      <c r="E27" s="29">
        <v>11166.626397042521</v>
      </c>
      <c r="F27" s="30">
        <v>14702.595589673992</v>
      </c>
    </row>
    <row r="28" spans="1:8" x14ac:dyDescent="0.2">
      <c r="A28" s="28" t="s">
        <v>32</v>
      </c>
      <c r="B28" s="29">
        <v>2450.6228552986695</v>
      </c>
      <c r="C28" s="29">
        <v>2688.9372998782405</v>
      </c>
      <c r="D28" s="29">
        <v>3256.7525074172336</v>
      </c>
      <c r="E28" s="29">
        <v>3282.2718237558456</v>
      </c>
      <c r="F28" s="30">
        <v>3776.9649289287804</v>
      </c>
    </row>
    <row r="29" spans="1:8" x14ac:dyDescent="0.2">
      <c r="A29" s="28" t="s">
        <v>33</v>
      </c>
      <c r="B29" s="29">
        <v>6093.5635466472413</v>
      </c>
      <c r="C29" s="29">
        <v>6697.3785448072495</v>
      </c>
      <c r="D29" s="29">
        <v>7454.2817749557998</v>
      </c>
      <c r="E29" s="29">
        <v>8582.7246689978692</v>
      </c>
      <c r="F29" s="30">
        <v>9873.9009536731101</v>
      </c>
    </row>
    <row r="30" spans="1:8" x14ac:dyDescent="0.2">
      <c r="A30" s="28" t="s">
        <v>34</v>
      </c>
      <c r="B30" s="29">
        <v>532.90183944664716</v>
      </c>
      <c r="C30" s="29">
        <v>586.23518753457699</v>
      </c>
      <c r="D30" s="29">
        <v>635.64251997260703</v>
      </c>
      <c r="E30" s="29">
        <v>611.06214121159564</v>
      </c>
      <c r="F30" s="30">
        <v>767.4924295530169</v>
      </c>
      <c r="H30" t="s">
        <v>8</v>
      </c>
    </row>
    <row r="31" spans="1:8" x14ac:dyDescent="0.2">
      <c r="A31" s="28" t="s">
        <v>35</v>
      </c>
      <c r="B31" s="29">
        <v>849.08085000000005</v>
      </c>
      <c r="C31" s="29">
        <v>907.88454999999999</v>
      </c>
      <c r="D31" s="29">
        <v>991.81061000000011</v>
      </c>
      <c r="E31" s="29">
        <v>1128.1373999999998</v>
      </c>
      <c r="F31" s="30">
        <v>1601.4692499999999</v>
      </c>
      <c r="H31" t="s">
        <v>13</v>
      </c>
    </row>
    <row r="32" spans="1:8" x14ac:dyDescent="0.2">
      <c r="A32" s="28" t="s">
        <v>36</v>
      </c>
      <c r="B32" s="29">
        <v>11787.670612984857</v>
      </c>
      <c r="C32" s="29">
        <v>13303.507951813297</v>
      </c>
      <c r="D32" s="29">
        <v>14651.672188936278</v>
      </c>
      <c r="E32" s="29">
        <v>16931.997603168802</v>
      </c>
      <c r="F32" s="30">
        <v>18944.637933938135</v>
      </c>
    </row>
    <row r="33" spans="1:6" x14ac:dyDescent="0.2">
      <c r="B33" s="29"/>
      <c r="C33" s="29"/>
      <c r="D33" s="29"/>
      <c r="E33" s="29"/>
      <c r="F33" s="30"/>
    </row>
    <row r="34" spans="1:6" x14ac:dyDescent="0.2">
      <c r="A34" s="63" t="s">
        <v>37</v>
      </c>
      <c r="B34" s="29"/>
      <c r="C34" s="29"/>
      <c r="D34" s="29"/>
      <c r="E34" s="29"/>
      <c r="F34" s="30"/>
    </row>
    <row r="35" spans="1:6" x14ac:dyDescent="0.2">
      <c r="A35" s="28" t="s">
        <v>38</v>
      </c>
      <c r="B35" s="29">
        <v>88150.704510298965</v>
      </c>
      <c r="C35" s="29">
        <v>99988.293040261211</v>
      </c>
      <c r="D35" s="29">
        <v>116070.94121982876</v>
      </c>
      <c r="E35" s="29">
        <v>129444.47633066562</v>
      </c>
      <c r="F35" s="30">
        <v>148592.13441299519</v>
      </c>
    </row>
    <row r="36" spans="1:6" x14ac:dyDescent="0.2">
      <c r="A36" s="28" t="s">
        <v>39</v>
      </c>
      <c r="B36" s="29">
        <v>32155.301488457128</v>
      </c>
      <c r="C36" s="29">
        <v>35549.806584596547</v>
      </c>
      <c r="D36" s="29">
        <v>39024.590739017978</v>
      </c>
      <c r="E36" s="29">
        <v>43581.155427917001</v>
      </c>
      <c r="F36" s="30">
        <v>46351.116356267732</v>
      </c>
    </row>
    <row r="37" spans="1:6" x14ac:dyDescent="0.2">
      <c r="A37" s="28" t="s">
        <v>40</v>
      </c>
      <c r="B37" s="29">
        <v>8406.1022912098597</v>
      </c>
      <c r="C37" s="29">
        <v>9327.0140867535538</v>
      </c>
      <c r="D37" s="29">
        <v>10361.115915381528</v>
      </c>
      <c r="E37" s="29">
        <v>11779.470073233535</v>
      </c>
      <c r="F37" s="30">
        <v>13146.126821494985</v>
      </c>
    </row>
    <row r="38" spans="1:6" x14ac:dyDescent="0.2">
      <c r="A38" s="28" t="s">
        <v>41</v>
      </c>
      <c r="B38" s="29">
        <v>10800.857671892021</v>
      </c>
      <c r="C38" s="29">
        <v>11983.345355677004</v>
      </c>
      <c r="D38" s="29">
        <v>13222.076533682059</v>
      </c>
      <c r="E38" s="29">
        <v>15618.000145339549</v>
      </c>
      <c r="F38" s="30">
        <v>17722.877582749748</v>
      </c>
    </row>
    <row r="39" spans="1:6" x14ac:dyDescent="0.2">
      <c r="A39" s="28" t="s">
        <v>42</v>
      </c>
      <c r="B39" s="29">
        <v>5474.4986565449017</v>
      </c>
      <c r="C39" s="29">
        <v>6258.3500500308946</v>
      </c>
      <c r="D39" s="29">
        <v>7015.2881049176303</v>
      </c>
      <c r="E39" s="29">
        <v>7580.9161104542554</v>
      </c>
      <c r="F39" s="30">
        <v>8510.4114567580746</v>
      </c>
    </row>
    <row r="40" spans="1:6" x14ac:dyDescent="0.2">
      <c r="A40" s="28" t="s">
        <v>43</v>
      </c>
      <c r="B40" s="29">
        <v>895.069389317066</v>
      </c>
      <c r="C40" s="29">
        <v>995.33093706466968</v>
      </c>
      <c r="D40" s="29">
        <v>1058.6991429241839</v>
      </c>
      <c r="E40" s="29">
        <v>1075.5743716358641</v>
      </c>
      <c r="F40" s="30">
        <v>1315.5314782031912</v>
      </c>
    </row>
    <row r="41" spans="1:6" x14ac:dyDescent="0.2">
      <c r="A41" s="28" t="s">
        <v>44</v>
      </c>
      <c r="B41" s="29">
        <v>0</v>
      </c>
      <c r="C41" s="29">
        <v>0</v>
      </c>
      <c r="D41" s="29">
        <v>0</v>
      </c>
      <c r="E41" s="29">
        <v>0</v>
      </c>
      <c r="F41" s="30">
        <v>0</v>
      </c>
    </row>
    <row r="42" spans="1:6" x14ac:dyDescent="0.2">
      <c r="A42" s="28" t="s">
        <v>45</v>
      </c>
      <c r="B42" s="29">
        <v>1318.6570348577216</v>
      </c>
      <c r="C42" s="29">
        <v>1485.999083626918</v>
      </c>
      <c r="D42" s="29">
        <v>1690.7106087249394</v>
      </c>
      <c r="E42" s="29">
        <v>2008.2685784630962</v>
      </c>
      <c r="F42" s="30">
        <v>2257.967836033542</v>
      </c>
    </row>
    <row r="43" spans="1:6" x14ac:dyDescent="0.2">
      <c r="A43" s="28" t="s">
        <v>46</v>
      </c>
      <c r="B43" s="29">
        <v>1062.6121189345683</v>
      </c>
      <c r="C43" s="29">
        <v>1137.3714504915854</v>
      </c>
      <c r="D43" s="29">
        <v>1267.0046962007054</v>
      </c>
      <c r="E43" s="29">
        <v>1418.6418139912855</v>
      </c>
      <c r="F43" s="30">
        <v>1815.8634846882594</v>
      </c>
    </row>
    <row r="44" spans="1:6" x14ac:dyDescent="0.2">
      <c r="A44" s="28" t="s">
        <v>47</v>
      </c>
      <c r="B44" s="29">
        <v>76.67132842834117</v>
      </c>
      <c r="C44" s="29">
        <v>85.154901819643385</v>
      </c>
      <c r="D44" s="29">
        <v>91.699459903248851</v>
      </c>
      <c r="E44" s="29">
        <v>101.47890150474151</v>
      </c>
      <c r="F44" s="30">
        <v>57.042088470799946</v>
      </c>
    </row>
    <row r="45" spans="1:6" x14ac:dyDescent="0.2">
      <c r="A45" s="28" t="s">
        <v>48</v>
      </c>
      <c r="B45" s="29">
        <v>391.23723930703454</v>
      </c>
      <c r="C45" s="29">
        <v>424.40036935192569</v>
      </c>
      <c r="D45" s="29">
        <v>456.05973758489768</v>
      </c>
      <c r="E45" s="29">
        <v>518.13454884658051</v>
      </c>
      <c r="F45" s="30">
        <v>436.84450507231065</v>
      </c>
    </row>
    <row r="46" spans="1:6" x14ac:dyDescent="0.2">
      <c r="A46" s="28" t="s">
        <v>49</v>
      </c>
      <c r="B46" s="29">
        <v>348.05548299578027</v>
      </c>
      <c r="C46" s="29">
        <v>482.5090868956546</v>
      </c>
      <c r="D46" s="29">
        <v>577.20291313783355</v>
      </c>
      <c r="E46" s="29">
        <v>594.77731081806849</v>
      </c>
      <c r="F46" s="30">
        <v>337.57554422874273</v>
      </c>
    </row>
    <row r="47" spans="1:6" x14ac:dyDescent="0.2">
      <c r="A47" s="28" t="s">
        <v>50</v>
      </c>
      <c r="B47" s="29">
        <v>2.6583755807008056</v>
      </c>
      <c r="C47" s="29">
        <v>2.8956333525354401</v>
      </c>
      <c r="D47" s="29">
        <v>2.0732409390671069</v>
      </c>
      <c r="E47" s="29">
        <v>1.3523965622441181</v>
      </c>
      <c r="F47" s="30">
        <v>1.095134558978518</v>
      </c>
    </row>
    <row r="48" spans="1:6" x14ac:dyDescent="0.2">
      <c r="A48" s="28" t="s">
        <v>51</v>
      </c>
      <c r="B48" s="29">
        <v>4.4260746777745688</v>
      </c>
      <c r="C48" s="29">
        <v>4.2584892498328726</v>
      </c>
      <c r="D48" s="29">
        <v>20.009201426733341</v>
      </c>
      <c r="E48" s="29">
        <v>29.765247744086171</v>
      </c>
      <c r="F48" s="30">
        <v>32.889039096751972</v>
      </c>
    </row>
    <row r="49" spans="1:6" x14ac:dyDescent="0.2">
      <c r="A49" s="28" t="s">
        <v>52</v>
      </c>
      <c r="B49" s="29">
        <v>0.46315749784263105</v>
      </c>
      <c r="C49" s="29">
        <v>0.39469082806887429</v>
      </c>
      <c r="D49" s="29">
        <v>0.5012763304954484</v>
      </c>
      <c r="E49" s="29">
        <v>0.93672323890260123</v>
      </c>
      <c r="F49" s="30">
        <v>0.33848039073189407</v>
      </c>
    </row>
    <row r="50" spans="1:6" x14ac:dyDescent="0.2">
      <c r="A50" s="28" t="s">
        <v>53</v>
      </c>
      <c r="B50" s="29">
        <v>0</v>
      </c>
      <c r="C50" s="29">
        <v>0</v>
      </c>
      <c r="D50" s="29">
        <v>0</v>
      </c>
      <c r="E50" s="29">
        <v>0</v>
      </c>
      <c r="F50" s="30">
        <v>0</v>
      </c>
    </row>
    <row r="52" spans="1:6" x14ac:dyDescent="0.2">
      <c r="A52" s="63" t="s">
        <v>54</v>
      </c>
      <c r="B52" s="29"/>
      <c r="C52" s="29"/>
      <c r="D52" s="29"/>
      <c r="E52" s="29"/>
      <c r="F52" s="30"/>
    </row>
    <row r="53" spans="1:6" x14ac:dyDescent="0.2">
      <c r="A53" s="28" t="s">
        <v>55</v>
      </c>
      <c r="B53" s="29">
        <v>130830.0214613898</v>
      </c>
      <c r="C53" s="29">
        <v>147356.3184939592</v>
      </c>
      <c r="D53" s="29">
        <v>168486.51502757854</v>
      </c>
      <c r="E53" s="29">
        <v>188284.2659733693</v>
      </c>
      <c r="F53" s="30">
        <v>212500.23517055257</v>
      </c>
    </row>
    <row r="54" spans="1:6" x14ac:dyDescent="0.2">
      <c r="A54" s="28" t="s">
        <v>26</v>
      </c>
      <c r="B54" s="29">
        <v>6469.6227456251945</v>
      </c>
      <c r="C54" s="29">
        <v>7065.2973142272622</v>
      </c>
      <c r="D54" s="29">
        <v>7719.7855734850464</v>
      </c>
      <c r="E54" s="29">
        <v>8536.6844038766976</v>
      </c>
      <c r="F54" s="30">
        <v>9132.94111651813</v>
      </c>
    </row>
    <row r="55" spans="1:6" x14ac:dyDescent="0.2">
      <c r="A55" s="28" t="s">
        <v>56</v>
      </c>
      <c r="B55" s="29">
        <v>6683.0182811968289</v>
      </c>
      <c r="C55" s="29">
        <v>7682.5907096120363</v>
      </c>
      <c r="D55" s="29">
        <v>8843.6656839843399</v>
      </c>
      <c r="E55" s="29">
        <v>10382.29088047738</v>
      </c>
      <c r="F55" s="30">
        <v>11795.686850661352</v>
      </c>
    </row>
    <row r="56" spans="1:6" x14ac:dyDescent="0.2">
      <c r="A56" s="28" t="s">
        <v>57</v>
      </c>
      <c r="B56" s="29">
        <v>5104.6523317880165</v>
      </c>
      <c r="C56" s="29">
        <v>5620.9172422012725</v>
      </c>
      <c r="D56" s="29">
        <v>5808.0065049519317</v>
      </c>
      <c r="E56" s="29">
        <v>6549.7067226914232</v>
      </c>
      <c r="F56" s="30">
        <v>7148.9510832767901</v>
      </c>
    </row>
    <row r="58" spans="1:6" x14ac:dyDescent="0.2">
      <c r="A58" s="63" t="s">
        <v>58</v>
      </c>
      <c r="B58" s="64">
        <v>2021</v>
      </c>
      <c r="C58" s="64">
        <v>2022</v>
      </c>
      <c r="D58" s="64">
        <v>2023</v>
      </c>
      <c r="E58" s="64">
        <v>2024</v>
      </c>
      <c r="F58" s="65">
        <v>2025</v>
      </c>
    </row>
    <row r="59" spans="1:6" x14ac:dyDescent="0.2">
      <c r="A59" s="28" t="s">
        <v>59</v>
      </c>
      <c r="B59" s="29">
        <v>17682.549300716608</v>
      </c>
      <c r="C59" s="29">
        <v>19800.276630075517</v>
      </c>
      <c r="D59" s="29">
        <v>21768.36057184442</v>
      </c>
      <c r="E59" s="29">
        <v>24186.245224300525</v>
      </c>
      <c r="F59" s="30">
        <v>25899.615832739048</v>
      </c>
    </row>
    <row r="60" spans="1:6" x14ac:dyDescent="0.2">
      <c r="A60" s="28" t="s">
        <v>60</v>
      </c>
      <c r="B60" s="29">
        <v>7729.2847538542683</v>
      </c>
      <c r="C60" s="29">
        <v>8617.2080851413502</v>
      </c>
      <c r="D60" s="29">
        <v>9813.4123433008117</v>
      </c>
      <c r="E60" s="29">
        <v>10711.880922378959</v>
      </c>
      <c r="F60" s="30">
        <v>12072.180093779196</v>
      </c>
    </row>
    <row r="61" spans="1:6" x14ac:dyDescent="0.2">
      <c r="A61" s="28" t="s">
        <v>61</v>
      </c>
      <c r="B61" s="29">
        <v>4980.5856756328676</v>
      </c>
      <c r="C61" s="29">
        <v>5460.9880149277133</v>
      </c>
      <c r="D61" s="29">
        <v>6314.2439961055306</v>
      </c>
      <c r="E61" s="29">
        <v>7257.2747805185281</v>
      </c>
      <c r="F61" s="30">
        <v>8246.1684745330858</v>
      </c>
    </row>
    <row r="62" spans="1:6" x14ac:dyDescent="0.2">
      <c r="A62" s="28" t="s">
        <v>62</v>
      </c>
      <c r="B62" s="29">
        <v>11810.357544036038</v>
      </c>
      <c r="C62" s="29">
        <v>13334.457423286904</v>
      </c>
      <c r="D62" s="29">
        <v>16363.269720672883</v>
      </c>
      <c r="E62" s="29">
        <v>18484.059818800659</v>
      </c>
      <c r="F62" s="30">
        <v>20432.638976508566</v>
      </c>
    </row>
    <row r="63" spans="1:6" x14ac:dyDescent="0.2">
      <c r="A63" s="28" t="s">
        <v>63</v>
      </c>
      <c r="B63" s="29">
        <v>29609.928514249837</v>
      </c>
      <c r="C63" s="29">
        <v>33290.396614022924</v>
      </c>
      <c r="D63" s="29">
        <v>37523.268326737692</v>
      </c>
      <c r="E63" s="29">
        <v>41824.487694801777</v>
      </c>
      <c r="F63" s="30">
        <v>47108.055026657283</v>
      </c>
    </row>
    <row r="64" spans="1:6" x14ac:dyDescent="0.2">
      <c r="A64" s="28" t="s">
        <v>64</v>
      </c>
      <c r="B64" s="29">
        <v>15939.921468733211</v>
      </c>
      <c r="C64" s="29">
        <v>18098.402000916765</v>
      </c>
      <c r="D64" s="29">
        <v>21516.404420612103</v>
      </c>
      <c r="E64" s="29">
        <v>24932.4456335627</v>
      </c>
      <c r="F64" s="30">
        <v>28258.644822949402</v>
      </c>
    </row>
    <row r="65" spans="1:6" x14ac:dyDescent="0.2">
      <c r="A65" s="28" t="s">
        <v>65</v>
      </c>
      <c r="B65" s="29">
        <v>35827.105729220006</v>
      </c>
      <c r="C65" s="29">
        <v>40916.407320422171</v>
      </c>
      <c r="D65" s="29">
        <v>45391.467058324539</v>
      </c>
      <c r="E65" s="29">
        <v>50006.975234772202</v>
      </c>
      <c r="F65" s="30">
        <v>57372.188008679892</v>
      </c>
    </row>
    <row r="66" spans="1:6" x14ac:dyDescent="0.2">
      <c r="A66" s="28" t="s">
        <v>66</v>
      </c>
      <c r="B66" s="29">
        <v>265.33242341246688</v>
      </c>
      <c r="C66" s="29">
        <v>296.3508127134557</v>
      </c>
      <c r="D66" s="29">
        <v>352.69381737889188</v>
      </c>
      <c r="E66" s="29">
        <v>380.54508055400441</v>
      </c>
      <c r="F66" s="30">
        <v>360.24039293987317</v>
      </c>
    </row>
    <row r="67" spans="1:6" x14ac:dyDescent="0.2">
      <c r="A67" s="28" t="s">
        <v>67</v>
      </c>
      <c r="B67" s="29">
        <v>10431.309358853297</v>
      </c>
      <c r="C67" s="29">
        <v>11458.066978264969</v>
      </c>
      <c r="D67" s="29">
        <v>12515.291485146157</v>
      </c>
      <c r="E67" s="29">
        <v>13546.608265126084</v>
      </c>
      <c r="F67" s="30">
        <v>14256.683898890149</v>
      </c>
    </row>
    <row r="68" spans="1:6" x14ac:dyDescent="0.2">
      <c r="A68" s="28" t="s">
        <v>43</v>
      </c>
      <c r="B68" s="29">
        <v>8962.3614085456302</v>
      </c>
      <c r="C68" s="29">
        <v>9962.390944457431</v>
      </c>
      <c r="D68" s="29">
        <v>11324.938441496712</v>
      </c>
      <c r="E68" s="29">
        <v>12666.820626095991</v>
      </c>
      <c r="F68" s="30">
        <v>14313.645308672234</v>
      </c>
    </row>
    <row r="69" spans="1:6" x14ac:dyDescent="0.2">
      <c r="A69" s="28" t="s">
        <v>68</v>
      </c>
      <c r="B69" s="29">
        <v>4677.745748667815</v>
      </c>
      <c r="C69" s="29">
        <v>5144.8786829737937</v>
      </c>
      <c r="D69" s="29">
        <v>6462.7554897100017</v>
      </c>
      <c r="E69" s="29">
        <v>8072.9283602254727</v>
      </c>
      <c r="F69" s="30">
        <v>10450.979457973748</v>
      </c>
    </row>
    <row r="70" spans="1:6" x14ac:dyDescent="0.2">
      <c r="A70" s="28" t="s">
        <v>69</v>
      </c>
      <c r="B70" s="29">
        <v>1170.8328940778474</v>
      </c>
      <c r="C70" s="29">
        <v>1345.3002527970609</v>
      </c>
      <c r="D70" s="29">
        <v>1511.8671186701729</v>
      </c>
      <c r="E70" s="29">
        <v>1682.6763392777807</v>
      </c>
      <c r="F70" s="30">
        <v>1806.7739266866117</v>
      </c>
    </row>
    <row r="76" spans="1:6" x14ac:dyDescent="0.2">
      <c r="A76" t="s">
        <v>70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46D7-D1D4-46A3-8E82-643261AA556B}">
  <dimension ref="A1:H895"/>
  <sheetViews>
    <sheetView tabSelected="1" zoomScaleNormal="100" workbookViewId="0">
      <selection activeCell="C12" sqref="C12"/>
    </sheetView>
  </sheetViews>
  <sheetFormatPr baseColWidth="10" defaultColWidth="11.5" defaultRowHeight="15" x14ac:dyDescent="0.2"/>
  <cols>
    <col min="1" max="1" width="22.33203125" customWidth="1"/>
    <col min="2" max="2" width="16.6640625" bestFit="1" customWidth="1"/>
    <col min="3" max="3" width="52.5" bestFit="1" customWidth="1"/>
  </cols>
  <sheetData>
    <row r="1" spans="1:8" ht="16" x14ac:dyDescent="0.2">
      <c r="A1" s="31" t="s">
        <v>71</v>
      </c>
      <c r="B1" s="32" t="s">
        <v>72</v>
      </c>
      <c r="C1" s="32" t="s">
        <v>73</v>
      </c>
      <c r="D1" s="33">
        <v>2021</v>
      </c>
      <c r="E1" s="33">
        <v>2022</v>
      </c>
      <c r="F1" s="33">
        <v>2023</v>
      </c>
      <c r="G1" s="33">
        <v>2024</v>
      </c>
      <c r="H1" s="55">
        <v>2025</v>
      </c>
    </row>
    <row r="2" spans="1:8" ht="16" x14ac:dyDescent="0.2">
      <c r="A2" s="34">
        <v>500627</v>
      </c>
      <c r="B2" s="35" t="s">
        <v>74</v>
      </c>
      <c r="C2" s="35" t="s">
        <v>75</v>
      </c>
      <c r="D2" s="36">
        <v>47703.098549999995</v>
      </c>
      <c r="E2" s="36">
        <v>53441.679810000016</v>
      </c>
      <c r="F2" s="36">
        <v>59749.784340000006</v>
      </c>
      <c r="G2" s="36">
        <v>66664.565979999999</v>
      </c>
      <c r="H2" s="56">
        <v>75614.06783</v>
      </c>
    </row>
    <row r="3" spans="1:8" ht="16" x14ac:dyDescent="0.2">
      <c r="A3" s="34">
        <v>500838</v>
      </c>
      <c r="B3" s="35" t="s">
        <v>76</v>
      </c>
      <c r="C3" s="35" t="s">
        <v>77</v>
      </c>
      <c r="D3" s="37">
        <v>6979.7813800000013</v>
      </c>
      <c r="E3" s="37">
        <v>7665.5733100000007</v>
      </c>
      <c r="F3" s="37">
        <v>11188.823249999999</v>
      </c>
      <c r="G3" s="37">
        <v>12046.20818</v>
      </c>
      <c r="H3" s="57">
        <v>13664.056269999999</v>
      </c>
    </row>
    <row r="4" spans="1:8" ht="16" x14ac:dyDescent="0.2">
      <c r="A4" s="44">
        <v>500748</v>
      </c>
      <c r="B4" s="42" t="s">
        <v>78</v>
      </c>
      <c r="C4" s="42" t="s">
        <v>79</v>
      </c>
      <c r="D4" s="45">
        <v>6747.1056899999994</v>
      </c>
      <c r="E4" s="45">
        <v>7713.8419799999983</v>
      </c>
      <c r="F4" s="45">
        <v>8681.8567700000003</v>
      </c>
      <c r="G4" s="45">
        <v>9705.5930500000013</v>
      </c>
      <c r="H4" s="60">
        <v>10904.301710000002</v>
      </c>
    </row>
    <row r="5" spans="1:8" ht="16" x14ac:dyDescent="0.2">
      <c r="A5" s="44">
        <v>500174</v>
      </c>
      <c r="B5" s="42" t="s">
        <v>80</v>
      </c>
      <c r="C5" s="42" t="s">
        <v>81</v>
      </c>
      <c r="D5" s="45">
        <v>4955.2406600000004</v>
      </c>
      <c r="E5" s="45">
        <v>5378.7075000000004</v>
      </c>
      <c r="F5" s="45">
        <v>5527.5736999999999</v>
      </c>
      <c r="G5" s="45">
        <v>6076.0186800000001</v>
      </c>
      <c r="H5" s="60">
        <v>6348.7568700000002</v>
      </c>
    </row>
    <row r="6" spans="1:8" ht="16" x14ac:dyDescent="0.2">
      <c r="A6" s="38">
        <v>501182</v>
      </c>
      <c r="B6" s="39" t="s">
        <v>82</v>
      </c>
      <c r="C6" s="39" t="s">
        <v>83</v>
      </c>
      <c r="D6" s="40">
        <v>0</v>
      </c>
      <c r="E6" s="40">
        <v>0</v>
      </c>
      <c r="F6" s="40">
        <v>0</v>
      </c>
      <c r="G6" s="40">
        <v>5688.3612000000003</v>
      </c>
      <c r="H6" s="58">
        <v>5918.2662</v>
      </c>
    </row>
    <row r="7" spans="1:8" ht="32" x14ac:dyDescent="0.2">
      <c r="A7" s="67">
        <v>500656</v>
      </c>
      <c r="B7" s="69" t="s">
        <v>84</v>
      </c>
      <c r="C7" s="69" t="s">
        <v>85</v>
      </c>
      <c r="D7" s="72">
        <v>2657.7896500000002</v>
      </c>
      <c r="E7" s="72">
        <v>3447.2478900000006</v>
      </c>
      <c r="F7" s="72">
        <v>4157.6912400000001</v>
      </c>
      <c r="G7" s="72">
        <v>4833.1901399999997</v>
      </c>
      <c r="H7" s="74">
        <v>5598.0627599999998</v>
      </c>
    </row>
    <row r="8" spans="1:8" ht="16" x14ac:dyDescent="0.2">
      <c r="A8" s="44">
        <v>500862</v>
      </c>
      <c r="B8" s="42" t="s">
        <v>86</v>
      </c>
      <c r="C8" s="42" t="s">
        <v>87</v>
      </c>
      <c r="D8" s="43">
        <v>2320.2940099999996</v>
      </c>
      <c r="E8" s="43">
        <v>2867.1957400000001</v>
      </c>
      <c r="F8" s="43">
        <v>3791.9975199999999</v>
      </c>
      <c r="G8" s="43">
        <v>4478.5500300000003</v>
      </c>
      <c r="H8" s="59">
        <v>5185.2398100000009</v>
      </c>
    </row>
    <row r="9" spans="1:8" ht="16" x14ac:dyDescent="0.2">
      <c r="A9" s="44">
        <v>500002</v>
      </c>
      <c r="B9" s="42" t="s">
        <v>88</v>
      </c>
      <c r="C9" s="42" t="s">
        <v>89</v>
      </c>
      <c r="D9" s="45">
        <v>3558.3541100000002</v>
      </c>
      <c r="E9" s="45">
        <v>3927.3862000000149</v>
      </c>
      <c r="F9" s="45">
        <v>4242.6055700000006</v>
      </c>
      <c r="G9" s="45">
        <v>4619.6639599999999</v>
      </c>
      <c r="H9" s="60">
        <v>5178.5988600000001</v>
      </c>
    </row>
    <row r="10" spans="1:8" ht="16" x14ac:dyDescent="0.2">
      <c r="A10" s="44">
        <v>500136</v>
      </c>
      <c r="B10" s="42" t="s">
        <v>90</v>
      </c>
      <c r="C10" s="42" t="s">
        <v>91</v>
      </c>
      <c r="D10" s="45">
        <v>3024.4407800000004</v>
      </c>
      <c r="E10" s="45">
        <v>3307.3201299999901</v>
      </c>
      <c r="F10" s="45">
        <v>3652.77502</v>
      </c>
      <c r="G10" s="45">
        <v>4107.0370000000003</v>
      </c>
      <c r="H10" s="60">
        <v>4564.0249199999998</v>
      </c>
    </row>
    <row r="11" spans="1:8" ht="16" x14ac:dyDescent="0.2">
      <c r="A11" s="44">
        <v>500093</v>
      </c>
      <c r="B11" s="47" t="s">
        <v>92</v>
      </c>
      <c r="C11" s="47" t="s">
        <v>93</v>
      </c>
      <c r="D11" s="45">
        <v>2220.4212599999996</v>
      </c>
      <c r="E11" s="45">
        <v>2564.0224699999999</v>
      </c>
      <c r="F11" s="45">
        <v>2947.0688599999999</v>
      </c>
      <c r="G11" s="45">
        <v>3285.5679299999997</v>
      </c>
      <c r="H11" s="60">
        <v>3576.7048300000001</v>
      </c>
    </row>
    <row r="12" spans="1:8" ht="32" x14ac:dyDescent="0.2">
      <c r="A12" s="46">
        <v>500977</v>
      </c>
      <c r="B12" s="47" t="s">
        <v>94</v>
      </c>
      <c r="C12" s="47" t="s">
        <v>95</v>
      </c>
      <c r="D12" s="45">
        <v>2038.7077899999999</v>
      </c>
      <c r="E12" s="45">
        <v>2303.320400000001</v>
      </c>
      <c r="F12" s="45">
        <v>2497.8135899999997</v>
      </c>
      <c r="G12" s="45">
        <v>2698.8729900000003</v>
      </c>
      <c r="H12" s="60">
        <v>2926.6799900000001</v>
      </c>
    </row>
    <row r="13" spans="1:8" ht="16" x14ac:dyDescent="0.2">
      <c r="A13" s="44">
        <v>500730</v>
      </c>
      <c r="B13" s="47" t="s">
        <v>96</v>
      </c>
      <c r="C13" s="47" t="s">
        <v>97</v>
      </c>
      <c r="D13" s="45">
        <v>1481.0826000000002</v>
      </c>
      <c r="E13" s="45">
        <v>1768.6416800000002</v>
      </c>
      <c r="F13" s="45">
        <v>2037.7747000000002</v>
      </c>
      <c r="G13" s="45">
        <v>2484.5914299999995</v>
      </c>
      <c r="H13" s="60">
        <v>2663.5214799999999</v>
      </c>
    </row>
    <row r="14" spans="1:8" ht="16" x14ac:dyDescent="0.2">
      <c r="A14" s="44">
        <v>500630</v>
      </c>
      <c r="B14" s="47" t="s">
        <v>98</v>
      </c>
      <c r="C14" s="47" t="s">
        <v>99</v>
      </c>
      <c r="D14" s="45">
        <v>1809.9346799999998</v>
      </c>
      <c r="E14" s="45">
        <v>1988.90392</v>
      </c>
      <c r="F14" s="45">
        <v>2238.5555800000002</v>
      </c>
      <c r="G14" s="45">
        <v>2455.9953100000002</v>
      </c>
      <c r="H14" s="60">
        <v>2568.9169699999998</v>
      </c>
    </row>
    <row r="15" spans="1:8" ht="32" x14ac:dyDescent="0.2">
      <c r="A15" s="44">
        <v>500141</v>
      </c>
      <c r="B15" s="47" t="s">
        <v>100</v>
      </c>
      <c r="C15" s="47" t="s">
        <v>101</v>
      </c>
      <c r="D15" s="45">
        <v>1838.14375</v>
      </c>
      <c r="E15" s="45">
        <v>1939.4115600000002</v>
      </c>
      <c r="F15" s="45">
        <v>2143.9885500000005</v>
      </c>
      <c r="G15" s="45">
        <v>2347.24226</v>
      </c>
      <c r="H15" s="60">
        <v>2504.1611399999997</v>
      </c>
    </row>
    <row r="16" spans="1:8" ht="32" x14ac:dyDescent="0.2">
      <c r="A16" s="44">
        <v>500300</v>
      </c>
      <c r="B16" s="47" t="s">
        <v>102</v>
      </c>
      <c r="C16" s="47" t="s">
        <v>103</v>
      </c>
      <c r="D16" s="45">
        <v>1911.6213399999999</v>
      </c>
      <c r="E16" s="45">
        <v>2056.1624700000039</v>
      </c>
      <c r="F16" s="45">
        <v>2169.0058099999997</v>
      </c>
      <c r="G16" s="45">
        <v>2282.7880300000002</v>
      </c>
      <c r="H16" s="60">
        <v>2426.7429400000001</v>
      </c>
    </row>
    <row r="17" spans="1:8" ht="16" x14ac:dyDescent="0.2">
      <c r="A17" s="44">
        <v>500861</v>
      </c>
      <c r="B17" s="47" t="s">
        <v>104</v>
      </c>
      <c r="C17" s="47" t="s">
        <v>105</v>
      </c>
      <c r="D17" s="45">
        <v>1478.20136</v>
      </c>
      <c r="E17" s="45">
        <v>1701.4081200000001</v>
      </c>
      <c r="F17" s="45">
        <v>1880.7546299999999</v>
      </c>
      <c r="G17" s="45">
        <v>2108.0539199999998</v>
      </c>
      <c r="H17" s="60">
        <v>2358.5683599999998</v>
      </c>
    </row>
    <row r="18" spans="1:8" ht="16" x14ac:dyDescent="0.2">
      <c r="A18" s="44">
        <v>500003</v>
      </c>
      <c r="B18" s="47" t="s">
        <v>106</v>
      </c>
      <c r="C18" s="47" t="s">
        <v>107</v>
      </c>
      <c r="D18" s="45">
        <v>1581.61313</v>
      </c>
      <c r="E18" s="45">
        <v>1686.2672500000001</v>
      </c>
      <c r="F18" s="45">
        <v>1771.06477</v>
      </c>
      <c r="G18" s="45">
        <v>1940.1837499999999</v>
      </c>
      <c r="H18" s="60">
        <v>2112.77025</v>
      </c>
    </row>
    <row r="19" spans="1:8" ht="16" x14ac:dyDescent="0.2">
      <c r="A19" s="46">
        <v>501176</v>
      </c>
      <c r="B19" s="47" t="s">
        <v>108</v>
      </c>
      <c r="C19" s="47" t="s">
        <v>109</v>
      </c>
      <c r="D19" s="45">
        <v>0</v>
      </c>
      <c r="E19" s="45">
        <v>0</v>
      </c>
      <c r="F19" s="45">
        <v>0</v>
      </c>
      <c r="G19" s="45">
        <v>760.45053000000007</v>
      </c>
      <c r="H19" s="60">
        <v>1782.8614500000001</v>
      </c>
    </row>
    <row r="20" spans="1:8" ht="16" x14ac:dyDescent="0.2">
      <c r="A20" s="44">
        <v>500140</v>
      </c>
      <c r="B20" s="47" t="s">
        <v>110</v>
      </c>
      <c r="C20" s="47" t="s">
        <v>111</v>
      </c>
      <c r="D20" s="45">
        <v>1273.6698199999998</v>
      </c>
      <c r="E20" s="45">
        <v>1400.2937899999999</v>
      </c>
      <c r="F20" s="45">
        <v>1535.8616999999999</v>
      </c>
      <c r="G20" s="45">
        <v>1665.0400400000001</v>
      </c>
      <c r="H20" s="60">
        <v>1776.3539099999998</v>
      </c>
    </row>
    <row r="21" spans="1:8" ht="16" x14ac:dyDescent="0.2">
      <c r="A21" s="44">
        <v>500103</v>
      </c>
      <c r="B21" s="47" t="s">
        <v>112</v>
      </c>
      <c r="C21" s="47" t="s">
        <v>113</v>
      </c>
      <c r="D21" s="45">
        <v>1438.7997499999999</v>
      </c>
      <c r="E21" s="45">
        <v>1515.6590800000001</v>
      </c>
      <c r="F21" s="45">
        <v>1608.7297100000001</v>
      </c>
      <c r="G21" s="45">
        <v>1636.1887300000001</v>
      </c>
      <c r="H21" s="60">
        <v>1749.8149799999999</v>
      </c>
    </row>
    <row r="22" spans="1:8" ht="16" x14ac:dyDescent="0.2">
      <c r="A22" s="44">
        <v>500019</v>
      </c>
      <c r="B22" s="47" t="s">
        <v>114</v>
      </c>
      <c r="C22" s="47" t="s">
        <v>115</v>
      </c>
      <c r="D22" s="45">
        <v>1178.03079</v>
      </c>
      <c r="E22" s="45">
        <v>1309.4259</v>
      </c>
      <c r="F22" s="45">
        <v>1455.2276299999999</v>
      </c>
      <c r="G22" s="45">
        <v>1618.5876099999998</v>
      </c>
      <c r="H22" s="60">
        <v>1727.0967700000001</v>
      </c>
    </row>
    <row r="23" spans="1:8" ht="16" x14ac:dyDescent="0.2">
      <c r="A23" s="44">
        <v>500129</v>
      </c>
      <c r="B23" s="47" t="s">
        <v>116</v>
      </c>
      <c r="C23" s="47" t="s">
        <v>117</v>
      </c>
      <c r="D23" s="45">
        <v>1010.49762</v>
      </c>
      <c r="E23" s="45">
        <v>1192.6386800000002</v>
      </c>
      <c r="F23" s="45">
        <v>1367.1229900000001</v>
      </c>
      <c r="G23" s="45">
        <v>1553.35365</v>
      </c>
      <c r="H23" s="60">
        <v>1691.0028399999999</v>
      </c>
    </row>
    <row r="24" spans="1:8" ht="16" x14ac:dyDescent="0.2">
      <c r="A24" s="44">
        <v>500867</v>
      </c>
      <c r="B24" s="47" t="s">
        <v>118</v>
      </c>
      <c r="C24" s="47" t="s">
        <v>119</v>
      </c>
      <c r="D24" s="45">
        <v>1059.2753199999997</v>
      </c>
      <c r="E24" s="45">
        <v>1214.6266900000003</v>
      </c>
      <c r="F24" s="45">
        <v>1357.7489699999999</v>
      </c>
      <c r="G24" s="45">
        <v>1507.16633</v>
      </c>
      <c r="H24" s="60">
        <v>1665.3118300000001</v>
      </c>
    </row>
    <row r="25" spans="1:8" ht="16" x14ac:dyDescent="0.2">
      <c r="A25" s="44">
        <v>500833</v>
      </c>
      <c r="B25" s="47" t="s">
        <v>120</v>
      </c>
      <c r="C25" s="47" t="s">
        <v>121</v>
      </c>
      <c r="D25" s="45">
        <v>1319.1334300000001</v>
      </c>
      <c r="E25" s="45">
        <v>1563.8654299999996</v>
      </c>
      <c r="F25" s="45">
        <v>1643.1056400000002</v>
      </c>
      <c r="G25" s="45">
        <v>1602.1135300000001</v>
      </c>
      <c r="H25" s="60">
        <v>1619.3494300000002</v>
      </c>
    </row>
    <row r="26" spans="1:8" ht="16" x14ac:dyDescent="0.2">
      <c r="A26" s="46">
        <v>501004</v>
      </c>
      <c r="B26" s="47" t="s">
        <v>122</v>
      </c>
      <c r="C26" s="47" t="s">
        <v>123</v>
      </c>
      <c r="D26" s="45">
        <v>832.51814999999999</v>
      </c>
      <c r="E26" s="45">
        <v>1180.4671499999999</v>
      </c>
      <c r="F26" s="45">
        <v>1328.2729300000001</v>
      </c>
      <c r="G26" s="45">
        <v>1384.7830300000001</v>
      </c>
      <c r="H26" s="60">
        <v>1569.4502200000002</v>
      </c>
    </row>
    <row r="27" spans="1:8" ht="16" x14ac:dyDescent="0.2">
      <c r="A27" s="44">
        <v>500118</v>
      </c>
      <c r="B27" s="47" t="s">
        <v>124</v>
      </c>
      <c r="C27" s="47" t="s">
        <v>125</v>
      </c>
      <c r="D27" s="45">
        <v>963.50464999999997</v>
      </c>
      <c r="E27" s="45">
        <v>1071.8412800000008</v>
      </c>
      <c r="F27" s="45">
        <v>1246.78063</v>
      </c>
      <c r="G27" s="45">
        <v>1441.7230099999997</v>
      </c>
      <c r="H27" s="60">
        <v>1555.89265</v>
      </c>
    </row>
    <row r="28" spans="1:8" ht="16" x14ac:dyDescent="0.2">
      <c r="A28" s="44">
        <v>500221</v>
      </c>
      <c r="B28" s="47" t="s">
        <v>126</v>
      </c>
      <c r="C28" s="47" t="s">
        <v>127</v>
      </c>
      <c r="D28" s="45">
        <v>833.70517999999993</v>
      </c>
      <c r="E28" s="45">
        <v>918.60945999999944</v>
      </c>
      <c r="F28" s="45">
        <v>1084.99746</v>
      </c>
      <c r="G28" s="45">
        <v>1329.9733200000001</v>
      </c>
      <c r="H28" s="60">
        <v>1525.8499100000001</v>
      </c>
    </row>
    <row r="29" spans="1:8" ht="16" x14ac:dyDescent="0.2">
      <c r="A29" s="44">
        <v>500142</v>
      </c>
      <c r="B29" s="47" t="s">
        <v>128</v>
      </c>
      <c r="C29" s="47" t="s">
        <v>129</v>
      </c>
      <c r="D29" s="45">
        <v>907.97016000000008</v>
      </c>
      <c r="E29" s="45">
        <v>1049.2761</v>
      </c>
      <c r="F29" s="45">
        <v>1182.3648500000002</v>
      </c>
      <c r="G29" s="45">
        <v>1325.1868900000002</v>
      </c>
      <c r="H29" s="60">
        <v>1481.9964500000001</v>
      </c>
    </row>
    <row r="30" spans="1:8" ht="16" x14ac:dyDescent="0.2">
      <c r="A30" s="34">
        <v>500668</v>
      </c>
      <c r="B30" s="70" t="s">
        <v>130</v>
      </c>
      <c r="C30" s="70" t="s">
        <v>131</v>
      </c>
      <c r="D30" s="37">
        <v>816.97981000000004</v>
      </c>
      <c r="E30" s="37">
        <v>869.92702000000145</v>
      </c>
      <c r="F30" s="37">
        <v>945.97107000000005</v>
      </c>
      <c r="G30" s="37">
        <v>1046.1788900000001</v>
      </c>
      <c r="H30" s="57">
        <v>1442.7594299999998</v>
      </c>
    </row>
    <row r="31" spans="1:8" ht="16" x14ac:dyDescent="0.2">
      <c r="A31" s="44">
        <v>500831</v>
      </c>
      <c r="B31" s="47" t="s">
        <v>132</v>
      </c>
      <c r="C31" s="47" t="s">
        <v>133</v>
      </c>
      <c r="D31" s="45">
        <v>853.15706999999998</v>
      </c>
      <c r="E31" s="45">
        <v>1018.5145</v>
      </c>
      <c r="F31" s="45">
        <v>1134.5830700000001</v>
      </c>
      <c r="G31" s="45">
        <v>1289.58231</v>
      </c>
      <c r="H31" s="60">
        <v>1377.0928200000001</v>
      </c>
    </row>
    <row r="32" spans="1:8" ht="16" x14ac:dyDescent="0.2">
      <c r="A32" s="46">
        <v>501035</v>
      </c>
      <c r="B32" s="47" t="s">
        <v>134</v>
      </c>
      <c r="C32" s="47" t="s">
        <v>135</v>
      </c>
      <c r="D32" s="45">
        <v>383.27350000000001</v>
      </c>
      <c r="E32" s="45">
        <v>545.39980000000003</v>
      </c>
      <c r="F32" s="45">
        <v>879.53314999999986</v>
      </c>
      <c r="G32" s="45">
        <v>1059.4131499999999</v>
      </c>
      <c r="H32" s="60">
        <v>1317.16157</v>
      </c>
    </row>
    <row r="33" spans="1:8" ht="16" x14ac:dyDescent="0.2">
      <c r="A33" s="44">
        <v>500045</v>
      </c>
      <c r="B33" s="47" t="s">
        <v>136</v>
      </c>
      <c r="C33" s="47" t="s">
        <v>137</v>
      </c>
      <c r="D33" s="45">
        <v>1147.93551</v>
      </c>
      <c r="E33" s="45">
        <v>1140.7238000000004</v>
      </c>
      <c r="F33" s="45">
        <v>1199.57203</v>
      </c>
      <c r="G33" s="45">
        <v>1288.1352199999999</v>
      </c>
      <c r="H33" s="60">
        <v>1302.62754</v>
      </c>
    </row>
    <row r="34" spans="1:8" ht="16" x14ac:dyDescent="0.2">
      <c r="A34" s="44">
        <v>500751</v>
      </c>
      <c r="B34" s="47" t="s">
        <v>138</v>
      </c>
      <c r="C34" s="47" t="s">
        <v>139</v>
      </c>
      <c r="D34" s="45">
        <v>659.12006999999994</v>
      </c>
      <c r="E34" s="45">
        <v>814.47059999999999</v>
      </c>
      <c r="F34" s="45">
        <v>926.90764000000001</v>
      </c>
      <c r="G34" s="45">
        <v>1100.1768900000002</v>
      </c>
      <c r="H34" s="60">
        <v>1268.02421</v>
      </c>
    </row>
    <row r="35" spans="1:8" ht="16" x14ac:dyDescent="0.2">
      <c r="A35" s="46">
        <v>500934</v>
      </c>
      <c r="B35" s="47" t="s">
        <v>140</v>
      </c>
      <c r="C35" s="47" t="s">
        <v>141</v>
      </c>
      <c r="D35" s="45">
        <v>547.36466000000007</v>
      </c>
      <c r="E35" s="45">
        <v>745.30162000000007</v>
      </c>
      <c r="F35" s="45">
        <v>920.33561999999995</v>
      </c>
      <c r="G35" s="45">
        <v>1100.73206</v>
      </c>
      <c r="H35" s="60">
        <v>1262.7738300000001</v>
      </c>
    </row>
    <row r="36" spans="1:8" ht="16" x14ac:dyDescent="0.2">
      <c r="A36" s="44">
        <v>500187</v>
      </c>
      <c r="B36" s="47" t="s">
        <v>142</v>
      </c>
      <c r="C36" s="47" t="s">
        <v>143</v>
      </c>
      <c r="D36" s="45">
        <v>741.83733999999993</v>
      </c>
      <c r="E36" s="45">
        <v>874.57975999999974</v>
      </c>
      <c r="F36" s="45">
        <v>952.69985999999994</v>
      </c>
      <c r="G36" s="45">
        <v>1045.07807</v>
      </c>
      <c r="H36" s="60">
        <v>1173.0082199999999</v>
      </c>
    </row>
    <row r="37" spans="1:8" ht="16" x14ac:dyDescent="0.2">
      <c r="A37" s="44">
        <v>500830</v>
      </c>
      <c r="B37" s="47" t="s">
        <v>144</v>
      </c>
      <c r="C37" s="47" t="s">
        <v>145</v>
      </c>
      <c r="D37" s="45">
        <v>737.36042999999995</v>
      </c>
      <c r="E37" s="45">
        <v>844.19274999999993</v>
      </c>
      <c r="F37" s="45">
        <v>939.70542999999998</v>
      </c>
      <c r="G37" s="45">
        <v>981.52125000000001</v>
      </c>
      <c r="H37" s="60">
        <v>1021.99317</v>
      </c>
    </row>
    <row r="38" spans="1:8" ht="16" x14ac:dyDescent="0.2">
      <c r="A38" s="68">
        <v>500117</v>
      </c>
      <c r="B38" s="71" t="s">
        <v>146</v>
      </c>
      <c r="C38" s="71" t="s">
        <v>147</v>
      </c>
      <c r="D38" s="73">
        <v>776.31054000000006</v>
      </c>
      <c r="E38" s="73">
        <v>825.85412999999846</v>
      </c>
      <c r="F38" s="73">
        <v>854.92018999999993</v>
      </c>
      <c r="G38" s="73">
        <v>933.53774999999996</v>
      </c>
      <c r="H38" s="75">
        <v>1003.55704</v>
      </c>
    </row>
    <row r="39" spans="1:8" ht="16" x14ac:dyDescent="0.2">
      <c r="A39" s="52">
        <v>501113</v>
      </c>
      <c r="B39" s="62" t="s">
        <v>148</v>
      </c>
      <c r="C39" s="62" t="e">
        <f>_xlfn.XLOOKUP(B39,'[1]MDB-Auszug 09.01.2026'!D:D,'[1]MDB-Auszug 09.01.2026'!A:A)</f>
        <v>#N/A</v>
      </c>
      <c r="D39" s="45">
        <v>0</v>
      </c>
      <c r="E39" s="45">
        <v>108.68939999999999</v>
      </c>
      <c r="F39" s="45">
        <v>425.56789000000003</v>
      </c>
      <c r="G39" s="45">
        <v>686.07971999999995</v>
      </c>
      <c r="H39" s="60">
        <v>954.92484000000013</v>
      </c>
    </row>
    <row r="40" spans="1:8" ht="16" x14ac:dyDescent="0.2">
      <c r="A40" s="52">
        <v>501000</v>
      </c>
      <c r="B40" s="62" t="s">
        <v>149</v>
      </c>
      <c r="C40" s="62" t="s">
        <v>150</v>
      </c>
      <c r="D40" s="45">
        <v>600.13808999999992</v>
      </c>
      <c r="E40" s="45">
        <v>676.72983000000011</v>
      </c>
      <c r="F40" s="45">
        <v>714.61628000000007</v>
      </c>
      <c r="G40" s="45">
        <v>871.97397999999998</v>
      </c>
      <c r="H40" s="60">
        <v>947.80842999999993</v>
      </c>
    </row>
    <row r="41" spans="1:8" ht="16" x14ac:dyDescent="0.2">
      <c r="A41" s="44">
        <v>500695</v>
      </c>
      <c r="B41" s="42" t="s">
        <v>151</v>
      </c>
      <c r="C41" s="42" t="s">
        <v>152</v>
      </c>
      <c r="D41" s="43">
        <v>688.44547999999998</v>
      </c>
      <c r="E41" s="43">
        <v>755.71208999999999</v>
      </c>
      <c r="F41" s="43">
        <v>826.85590000000002</v>
      </c>
      <c r="G41" s="43">
        <v>878.51783999999998</v>
      </c>
      <c r="H41" s="59">
        <v>925.35638000000006</v>
      </c>
    </row>
    <row r="42" spans="1:8" ht="16" x14ac:dyDescent="0.2">
      <c r="A42" s="44">
        <v>500809</v>
      </c>
      <c r="B42" s="42" t="s">
        <v>153</v>
      </c>
      <c r="C42" s="42" t="s">
        <v>154</v>
      </c>
      <c r="D42" s="43">
        <v>648.34959000000003</v>
      </c>
      <c r="E42" s="43">
        <v>714.61171999999999</v>
      </c>
      <c r="F42" s="43">
        <v>814.16853000000003</v>
      </c>
      <c r="G42" s="43">
        <v>873.07799999999997</v>
      </c>
      <c r="H42" s="59">
        <v>916.21620999999993</v>
      </c>
    </row>
    <row r="43" spans="1:8" ht="16" x14ac:dyDescent="0.2">
      <c r="A43" s="46">
        <v>501036</v>
      </c>
      <c r="B43" s="42" t="s">
        <v>155</v>
      </c>
      <c r="C43" s="42" t="s">
        <v>156</v>
      </c>
      <c r="D43" s="45">
        <v>259.52691999999996</v>
      </c>
      <c r="E43" s="45">
        <v>455.22184000000004</v>
      </c>
      <c r="F43" s="45">
        <v>552.48458999999991</v>
      </c>
      <c r="G43" s="45">
        <v>738.78413999999998</v>
      </c>
      <c r="H43" s="60">
        <v>860.7014200000001</v>
      </c>
    </row>
    <row r="44" spans="1:8" ht="16" x14ac:dyDescent="0.2">
      <c r="A44" s="46">
        <v>501175</v>
      </c>
      <c r="B44" s="42" t="s">
        <v>157</v>
      </c>
      <c r="C44" s="42" t="s">
        <v>158</v>
      </c>
      <c r="D44" s="45">
        <v>0</v>
      </c>
      <c r="E44" s="45">
        <v>0</v>
      </c>
      <c r="F44" s="45">
        <v>0</v>
      </c>
      <c r="G44" s="45">
        <v>587.05965000000003</v>
      </c>
      <c r="H44" s="60">
        <v>859.08607999999992</v>
      </c>
    </row>
    <row r="45" spans="1:8" ht="16" x14ac:dyDescent="0.2">
      <c r="A45" s="44">
        <v>500663</v>
      </c>
      <c r="B45" s="42" t="s">
        <v>159</v>
      </c>
      <c r="C45" s="42" t="s">
        <v>160</v>
      </c>
      <c r="D45" s="45">
        <v>406.30590000000001</v>
      </c>
      <c r="E45" s="45">
        <v>475.64604000000003</v>
      </c>
      <c r="F45" s="45">
        <v>538.53206</v>
      </c>
      <c r="G45" s="45">
        <v>619.40075000000002</v>
      </c>
      <c r="H45" s="60">
        <v>851.05559000000005</v>
      </c>
    </row>
    <row r="46" spans="1:8" ht="16" x14ac:dyDescent="0.2">
      <c r="A46" s="46">
        <v>501034</v>
      </c>
      <c r="B46" s="42" t="s">
        <v>161</v>
      </c>
      <c r="C46" s="42" t="s">
        <v>162</v>
      </c>
      <c r="D46" s="45">
        <v>242.7688</v>
      </c>
      <c r="E46" s="45">
        <v>394.82490000000001</v>
      </c>
      <c r="F46" s="45">
        <v>528.10996999999998</v>
      </c>
      <c r="G46" s="45">
        <v>690.94689000000005</v>
      </c>
      <c r="H46" s="60">
        <v>848.76009999999997</v>
      </c>
    </row>
    <row r="47" spans="1:8" ht="16" x14ac:dyDescent="0.2">
      <c r="A47" s="44">
        <v>500121</v>
      </c>
      <c r="B47" s="42" t="s">
        <v>163</v>
      </c>
      <c r="C47" s="42" t="s">
        <v>164</v>
      </c>
      <c r="D47" s="45">
        <v>519.42363</v>
      </c>
      <c r="E47" s="45">
        <v>576.27003000000002</v>
      </c>
      <c r="F47" s="45">
        <v>650.60757000000001</v>
      </c>
      <c r="G47" s="45">
        <v>723.80956000000003</v>
      </c>
      <c r="H47" s="60">
        <v>846.64330000000007</v>
      </c>
    </row>
    <row r="48" spans="1:8" ht="16" x14ac:dyDescent="0.2">
      <c r="A48" s="46">
        <v>500947</v>
      </c>
      <c r="B48" s="42" t="s">
        <v>165</v>
      </c>
      <c r="C48" s="42" t="s">
        <v>166</v>
      </c>
      <c r="D48" s="45">
        <v>496.22755999999998</v>
      </c>
      <c r="E48" s="45">
        <v>530.78840999999989</v>
      </c>
      <c r="F48" s="45">
        <v>636.73267999999996</v>
      </c>
      <c r="G48" s="45">
        <v>695.99907000000007</v>
      </c>
      <c r="H48" s="60">
        <v>833.67737000000011</v>
      </c>
    </row>
    <row r="49" spans="1:8" ht="16" x14ac:dyDescent="0.2">
      <c r="A49" s="44">
        <v>500150</v>
      </c>
      <c r="B49" s="42" t="s">
        <v>167</v>
      </c>
      <c r="C49" s="42" t="s">
        <v>168</v>
      </c>
      <c r="D49" s="45">
        <v>528.64733999999999</v>
      </c>
      <c r="E49" s="45">
        <v>553.85894999999994</v>
      </c>
      <c r="F49" s="45">
        <v>635.23182999999995</v>
      </c>
      <c r="G49" s="45">
        <v>701.14290000000005</v>
      </c>
      <c r="H49" s="60">
        <v>761.53234999999995</v>
      </c>
    </row>
    <row r="50" spans="1:8" ht="16" x14ac:dyDescent="0.2">
      <c r="A50" s="46">
        <v>501100</v>
      </c>
      <c r="B50" s="42" t="s">
        <v>169</v>
      </c>
      <c r="C50" s="42" t="e">
        <f>_xlfn.XLOOKUP(B50,'[1]MDB-Auszug 09.01.2026'!D:D,'[1]MDB-Auszug 09.01.2026'!A:A)</f>
        <v>#N/A</v>
      </c>
      <c r="D50" s="45">
        <v>76.858519999999999</v>
      </c>
      <c r="E50" s="45">
        <v>231.50805000000003</v>
      </c>
      <c r="F50" s="45">
        <v>397.57309000000004</v>
      </c>
      <c r="G50" s="45">
        <v>599.95875000000001</v>
      </c>
      <c r="H50" s="60">
        <v>751.15895999999998</v>
      </c>
    </row>
    <row r="51" spans="1:8" ht="16" x14ac:dyDescent="0.2">
      <c r="A51" s="46">
        <v>501010</v>
      </c>
      <c r="B51" s="42" t="s">
        <v>170</v>
      </c>
      <c r="C51" s="42" t="s">
        <v>171</v>
      </c>
      <c r="D51" s="45">
        <v>354.21125000000001</v>
      </c>
      <c r="E51" s="45">
        <v>462.57295000000005</v>
      </c>
      <c r="F51" s="45">
        <v>588.88715000000002</v>
      </c>
      <c r="G51" s="45">
        <v>652.19907000000012</v>
      </c>
      <c r="H51" s="60">
        <v>719.69220999999993</v>
      </c>
    </row>
    <row r="52" spans="1:8" ht="16" x14ac:dyDescent="0.2">
      <c r="A52" s="44">
        <v>500994</v>
      </c>
      <c r="B52" s="42" t="s">
        <v>172</v>
      </c>
      <c r="C52" s="42" t="s">
        <v>173</v>
      </c>
      <c r="D52" s="45">
        <v>356.60277000000002</v>
      </c>
      <c r="E52" s="45">
        <v>442.93804000000006</v>
      </c>
      <c r="F52" s="45">
        <v>531.46950000000004</v>
      </c>
      <c r="G52" s="45">
        <v>606.34473000000003</v>
      </c>
      <c r="H52" s="60">
        <v>699.54228000000001</v>
      </c>
    </row>
    <row r="53" spans="1:8" ht="16" x14ac:dyDescent="0.2">
      <c r="A53" s="46">
        <v>501115</v>
      </c>
      <c r="B53" s="42" t="s">
        <v>174</v>
      </c>
      <c r="C53" s="42" t="e">
        <f>_xlfn.XLOOKUP(B53,'[1]MDB-Auszug 09.01.2026'!D:D,'[1]MDB-Auszug 09.01.2026'!A:A)</f>
        <v>#N/A</v>
      </c>
      <c r="D53" s="45">
        <v>0</v>
      </c>
      <c r="E53" s="45">
        <v>108.02709</v>
      </c>
      <c r="F53" s="45">
        <v>382.62228999999996</v>
      </c>
      <c r="G53" s="45">
        <v>617.68299999999999</v>
      </c>
      <c r="H53" s="60">
        <v>698.30711999999994</v>
      </c>
    </row>
    <row r="54" spans="1:8" ht="16" x14ac:dyDescent="0.2">
      <c r="A54" s="44">
        <v>500750</v>
      </c>
      <c r="B54" s="42" t="s">
        <v>175</v>
      </c>
      <c r="C54" s="42" t="s">
        <v>176</v>
      </c>
      <c r="D54" s="45">
        <v>522.90171999999995</v>
      </c>
      <c r="E54" s="45">
        <v>570.46705000000009</v>
      </c>
      <c r="F54" s="45">
        <v>615.15046999999993</v>
      </c>
      <c r="G54" s="45">
        <v>651.07672000000002</v>
      </c>
      <c r="H54" s="60">
        <v>691.27790000000005</v>
      </c>
    </row>
    <row r="55" spans="1:8" ht="16" x14ac:dyDescent="0.2">
      <c r="A55" s="44">
        <v>500188</v>
      </c>
      <c r="B55" s="42" t="s">
        <v>177</v>
      </c>
      <c r="C55" s="42" t="s">
        <v>178</v>
      </c>
      <c r="D55" s="45">
        <v>445.13966999999997</v>
      </c>
      <c r="E55" s="45">
        <v>482.81217999999984</v>
      </c>
      <c r="F55" s="45">
        <v>541.94674999999995</v>
      </c>
      <c r="G55" s="45">
        <v>611.95591000000002</v>
      </c>
      <c r="H55" s="60">
        <v>676.43878000000007</v>
      </c>
    </row>
    <row r="56" spans="1:8" ht="16" x14ac:dyDescent="0.2">
      <c r="A56" s="44">
        <v>500189</v>
      </c>
      <c r="B56" s="42" t="s">
        <v>179</v>
      </c>
      <c r="C56" s="42" t="s">
        <v>180</v>
      </c>
      <c r="D56" s="45">
        <v>437.02996999999999</v>
      </c>
      <c r="E56" s="45">
        <v>485.1100800000001</v>
      </c>
      <c r="F56" s="45">
        <v>494.43015000000003</v>
      </c>
      <c r="G56" s="45">
        <v>494.12781000000001</v>
      </c>
      <c r="H56" s="60">
        <v>668.75248999999997</v>
      </c>
    </row>
    <row r="57" spans="1:8" ht="16" x14ac:dyDescent="0.2">
      <c r="A57" s="44">
        <v>500633</v>
      </c>
      <c r="B57" s="42" t="s">
        <v>181</v>
      </c>
      <c r="C57" s="42" t="s">
        <v>182</v>
      </c>
      <c r="D57" s="45">
        <v>455.75706000000002</v>
      </c>
      <c r="E57" s="45">
        <v>544.16278999999952</v>
      </c>
      <c r="F57" s="45">
        <v>595.27832000000012</v>
      </c>
      <c r="G57" s="45">
        <v>622.23093999999992</v>
      </c>
      <c r="H57" s="60">
        <v>658.01619999999991</v>
      </c>
    </row>
    <row r="58" spans="1:8" ht="16" x14ac:dyDescent="0.2">
      <c r="A58" s="44">
        <v>500629</v>
      </c>
      <c r="B58" s="42" t="s">
        <v>183</v>
      </c>
      <c r="C58" s="42" t="s">
        <v>184</v>
      </c>
      <c r="D58" s="45">
        <v>537.36907000000008</v>
      </c>
      <c r="E58" s="45">
        <v>579.67929999999888</v>
      </c>
      <c r="F58" s="45">
        <v>599.42578000000003</v>
      </c>
      <c r="G58" s="45">
        <v>629.08020999999997</v>
      </c>
      <c r="H58" s="60">
        <v>656.69045999999992</v>
      </c>
    </row>
    <row r="59" spans="1:8" ht="16" x14ac:dyDescent="0.2">
      <c r="A59" s="44">
        <v>500163</v>
      </c>
      <c r="B59" s="42" t="s">
        <v>185</v>
      </c>
      <c r="C59" s="42" t="s">
        <v>186</v>
      </c>
      <c r="D59" s="45">
        <v>453.92292000000003</v>
      </c>
      <c r="E59" s="45">
        <v>521.23342000000014</v>
      </c>
      <c r="F59" s="45">
        <v>563.52456000000006</v>
      </c>
      <c r="G59" s="45">
        <v>603.96370999999999</v>
      </c>
      <c r="H59" s="60">
        <v>653.20144999999991</v>
      </c>
    </row>
    <row r="60" spans="1:8" ht="16" x14ac:dyDescent="0.2">
      <c r="A60" s="44">
        <v>500628</v>
      </c>
      <c r="B60" s="42" t="s">
        <v>187</v>
      </c>
      <c r="C60" s="42" t="s">
        <v>188</v>
      </c>
      <c r="D60" s="45">
        <v>431.18907999999999</v>
      </c>
      <c r="E60" s="45">
        <v>502.98467999999957</v>
      </c>
      <c r="F60" s="45">
        <v>544.83571999999992</v>
      </c>
      <c r="G60" s="45">
        <v>609.31631000000004</v>
      </c>
      <c r="H60" s="60">
        <v>650.7569299999999</v>
      </c>
    </row>
    <row r="61" spans="1:8" ht="16" x14ac:dyDescent="0.2">
      <c r="A61" s="46">
        <v>501058</v>
      </c>
      <c r="B61" s="42" t="s">
        <v>189</v>
      </c>
      <c r="C61" s="42" t="s">
        <v>190</v>
      </c>
      <c r="D61" s="45">
        <v>106.71051999999999</v>
      </c>
      <c r="E61" s="45">
        <v>238.73750000000004</v>
      </c>
      <c r="F61" s="45">
        <v>314.06665000000004</v>
      </c>
      <c r="G61" s="45">
        <v>410.61043000000001</v>
      </c>
      <c r="H61" s="60">
        <v>621.67554000000007</v>
      </c>
    </row>
    <row r="62" spans="1:8" ht="16" x14ac:dyDescent="0.2">
      <c r="A62" s="46">
        <v>500936</v>
      </c>
      <c r="B62" s="42" t="s">
        <v>191</v>
      </c>
      <c r="C62" s="42" t="s">
        <v>192</v>
      </c>
      <c r="D62" s="45">
        <v>269.20765999999998</v>
      </c>
      <c r="E62" s="45">
        <v>336.30790000000002</v>
      </c>
      <c r="F62" s="45">
        <v>403.82268000000005</v>
      </c>
      <c r="G62" s="45">
        <v>507.72363000000001</v>
      </c>
      <c r="H62" s="60">
        <v>619.00047999999992</v>
      </c>
    </row>
    <row r="63" spans="1:8" ht="16" x14ac:dyDescent="0.2">
      <c r="A63" s="44">
        <v>500644</v>
      </c>
      <c r="B63" s="42" t="s">
        <v>193</v>
      </c>
      <c r="C63" s="42" t="s">
        <v>194</v>
      </c>
      <c r="D63" s="45">
        <v>372.17532999999997</v>
      </c>
      <c r="E63" s="45">
        <v>420.98055000000005</v>
      </c>
      <c r="F63" s="45">
        <v>474.70833999999996</v>
      </c>
      <c r="G63" s="45">
        <v>531.76864999999998</v>
      </c>
      <c r="H63" s="60">
        <v>607.19392999999991</v>
      </c>
    </row>
    <row r="64" spans="1:8" ht="16" x14ac:dyDescent="0.2">
      <c r="A64" s="44">
        <v>500122</v>
      </c>
      <c r="B64" s="47" t="s">
        <v>195</v>
      </c>
      <c r="C64" s="47" t="s">
        <v>196</v>
      </c>
      <c r="D64" s="45">
        <v>278.06633999999997</v>
      </c>
      <c r="E64" s="45">
        <v>354.64136999999988</v>
      </c>
      <c r="F64" s="45">
        <v>428.88440000000003</v>
      </c>
      <c r="G64" s="45">
        <v>517.04255999999998</v>
      </c>
      <c r="H64" s="60">
        <v>590.80029000000002</v>
      </c>
    </row>
    <row r="65" spans="1:8" ht="16" x14ac:dyDescent="0.2">
      <c r="A65" s="44">
        <v>500119</v>
      </c>
      <c r="B65" s="42" t="s">
        <v>197</v>
      </c>
      <c r="C65" s="42" t="s">
        <v>198</v>
      </c>
      <c r="D65" s="45">
        <v>460.5104</v>
      </c>
      <c r="E65" s="45">
        <v>506.79292999999996</v>
      </c>
      <c r="F65" s="45">
        <v>546.18482000000006</v>
      </c>
      <c r="G65" s="45">
        <v>588.31412</v>
      </c>
      <c r="H65" s="60">
        <v>587.87026000000003</v>
      </c>
    </row>
    <row r="66" spans="1:8" ht="16" x14ac:dyDescent="0.2">
      <c r="A66" s="44">
        <v>500023</v>
      </c>
      <c r="B66" s="42" t="s">
        <v>199</v>
      </c>
      <c r="C66" s="42" t="s">
        <v>200</v>
      </c>
      <c r="D66" s="45">
        <v>416.49116000000004</v>
      </c>
      <c r="E66" s="45">
        <v>454.23671999999988</v>
      </c>
      <c r="F66" s="45">
        <v>493.52456999999998</v>
      </c>
      <c r="G66" s="45">
        <v>524.07682</v>
      </c>
      <c r="H66" s="60">
        <v>573.07977000000005</v>
      </c>
    </row>
    <row r="67" spans="1:8" ht="16" x14ac:dyDescent="0.2">
      <c r="A67" s="44">
        <v>500137</v>
      </c>
      <c r="B67" s="42" t="s">
        <v>201</v>
      </c>
      <c r="C67" s="42" t="s">
        <v>202</v>
      </c>
      <c r="D67" s="45">
        <v>433.72373999999996</v>
      </c>
      <c r="E67" s="45">
        <v>469.09794999999997</v>
      </c>
      <c r="F67" s="45">
        <v>502.94303000000002</v>
      </c>
      <c r="G67" s="45">
        <v>546.67111000000011</v>
      </c>
      <c r="H67" s="60">
        <v>569.34388000000001</v>
      </c>
    </row>
    <row r="68" spans="1:8" ht="16" x14ac:dyDescent="0.2">
      <c r="A68" s="44">
        <v>500078</v>
      </c>
      <c r="B68" s="42" t="s">
        <v>203</v>
      </c>
      <c r="C68" s="42" t="s">
        <v>204</v>
      </c>
      <c r="D68" s="45">
        <v>299.80364000000003</v>
      </c>
      <c r="E68" s="45">
        <v>349.52519000000012</v>
      </c>
      <c r="F68" s="45">
        <v>391.74421999999998</v>
      </c>
      <c r="G68" s="45">
        <v>513.39711999999997</v>
      </c>
      <c r="H68" s="60">
        <v>568.14470999999992</v>
      </c>
    </row>
    <row r="69" spans="1:8" ht="16" x14ac:dyDescent="0.2">
      <c r="A69" s="44">
        <v>500664</v>
      </c>
      <c r="B69" s="42" t="s">
        <v>205</v>
      </c>
      <c r="C69" s="42" t="s">
        <v>206</v>
      </c>
      <c r="D69" s="45">
        <v>391.08526000000001</v>
      </c>
      <c r="E69" s="45">
        <v>440.0603900000001</v>
      </c>
      <c r="F69" s="45">
        <v>482.28762999999998</v>
      </c>
      <c r="G69" s="45">
        <v>549.70858999999996</v>
      </c>
      <c r="H69" s="60">
        <v>562.17413999999985</v>
      </c>
    </row>
    <row r="70" spans="1:8" ht="16" x14ac:dyDescent="0.2">
      <c r="A70" s="44">
        <v>500024</v>
      </c>
      <c r="B70" s="42" t="s">
        <v>207</v>
      </c>
      <c r="C70" s="42" t="s">
        <v>208</v>
      </c>
      <c r="D70" s="45">
        <v>366.91846999999996</v>
      </c>
      <c r="E70" s="45">
        <v>388.87826999999993</v>
      </c>
      <c r="F70" s="45">
        <v>427.51908999999995</v>
      </c>
      <c r="G70" s="45">
        <v>471.99468999999999</v>
      </c>
      <c r="H70" s="60">
        <v>548.24077</v>
      </c>
    </row>
    <row r="71" spans="1:8" ht="16" x14ac:dyDescent="0.2">
      <c r="A71" s="44">
        <v>500181</v>
      </c>
      <c r="B71" s="42" t="s">
        <v>209</v>
      </c>
      <c r="C71" s="42" t="s">
        <v>210</v>
      </c>
      <c r="D71" s="45">
        <v>273.80778999999995</v>
      </c>
      <c r="E71" s="45">
        <v>332.39611000000002</v>
      </c>
      <c r="F71" s="45">
        <v>376.17794999999995</v>
      </c>
      <c r="G71" s="45">
        <v>456.62852000000004</v>
      </c>
      <c r="H71" s="60">
        <v>539.23680000000002</v>
      </c>
    </row>
    <row r="72" spans="1:8" ht="16" x14ac:dyDescent="0.2">
      <c r="A72" s="44">
        <v>500165</v>
      </c>
      <c r="B72" s="42" t="s">
        <v>211</v>
      </c>
      <c r="C72" s="42" t="s">
        <v>212</v>
      </c>
      <c r="D72" s="45">
        <v>345.57914</v>
      </c>
      <c r="E72" s="45">
        <v>355.85920999999996</v>
      </c>
      <c r="F72" s="45">
        <v>391.89183000000003</v>
      </c>
      <c r="G72" s="45">
        <v>419.08535999999998</v>
      </c>
      <c r="H72" s="60">
        <v>529.53098</v>
      </c>
    </row>
    <row r="73" spans="1:8" ht="16" x14ac:dyDescent="0.2">
      <c r="A73" s="46">
        <v>501136</v>
      </c>
      <c r="B73" s="42" t="s">
        <v>213</v>
      </c>
      <c r="C73" s="42" t="s">
        <v>214</v>
      </c>
      <c r="D73" s="45">
        <v>0</v>
      </c>
      <c r="E73" s="45">
        <v>0</v>
      </c>
      <c r="F73" s="45">
        <v>112.27249999999999</v>
      </c>
      <c r="G73" s="45">
        <v>304.32229999999998</v>
      </c>
      <c r="H73" s="60">
        <v>524.50165000000004</v>
      </c>
    </row>
    <row r="74" spans="1:8" ht="16" x14ac:dyDescent="0.2">
      <c r="A74" s="44">
        <v>500694</v>
      </c>
      <c r="B74" s="42" t="s">
        <v>215</v>
      </c>
      <c r="C74" s="42" t="s">
        <v>216</v>
      </c>
      <c r="D74" s="45">
        <v>224.56952999999999</v>
      </c>
      <c r="E74" s="45">
        <v>300.35166000000004</v>
      </c>
      <c r="F74" s="45">
        <v>355.45949000000002</v>
      </c>
      <c r="G74" s="45">
        <v>452.90580000000006</v>
      </c>
      <c r="H74" s="60">
        <v>516.00626</v>
      </c>
    </row>
    <row r="75" spans="1:8" ht="16" x14ac:dyDescent="0.2">
      <c r="A75" s="44">
        <v>500170</v>
      </c>
      <c r="B75" s="42" t="s">
        <v>217</v>
      </c>
      <c r="C75" s="42" t="s">
        <v>218</v>
      </c>
      <c r="D75" s="45">
        <v>492.38249000000002</v>
      </c>
      <c r="E75" s="45">
        <v>511.55563999999998</v>
      </c>
      <c r="F75" s="45">
        <v>513.31560000000002</v>
      </c>
      <c r="G75" s="45">
        <v>518.60491000000002</v>
      </c>
      <c r="H75" s="60">
        <v>508.60628000000003</v>
      </c>
    </row>
    <row r="76" spans="1:8" ht="16" x14ac:dyDescent="0.2">
      <c r="A76" s="44">
        <v>500153</v>
      </c>
      <c r="B76" s="42" t="s">
        <v>219</v>
      </c>
      <c r="C76" s="42" t="s">
        <v>220</v>
      </c>
      <c r="D76" s="45">
        <v>261.62751000000003</v>
      </c>
      <c r="E76" s="45">
        <v>270.37150000000003</v>
      </c>
      <c r="F76" s="45">
        <v>305.41197999999997</v>
      </c>
      <c r="G76" s="45">
        <v>348.81966999999997</v>
      </c>
      <c r="H76" s="60">
        <v>501.94171</v>
      </c>
    </row>
    <row r="77" spans="1:8" ht="16" x14ac:dyDescent="0.2">
      <c r="A77" s="46">
        <v>501033</v>
      </c>
      <c r="B77" s="42" t="s">
        <v>221</v>
      </c>
      <c r="C77" s="42" t="s">
        <v>222</v>
      </c>
      <c r="D77" s="45">
        <v>172.39255</v>
      </c>
      <c r="E77" s="45">
        <v>249.79924</v>
      </c>
      <c r="F77" s="45">
        <v>332.91143000000005</v>
      </c>
      <c r="G77" s="45">
        <v>425.40853000000004</v>
      </c>
      <c r="H77" s="60">
        <v>500.56557999999995</v>
      </c>
    </row>
    <row r="78" spans="1:8" ht="16" x14ac:dyDescent="0.2">
      <c r="A78" s="46">
        <v>500643</v>
      </c>
      <c r="B78" s="42" t="s">
        <v>223</v>
      </c>
      <c r="C78" s="42" t="s">
        <v>224</v>
      </c>
      <c r="D78" s="45">
        <v>275.55897999999996</v>
      </c>
      <c r="E78" s="45">
        <v>350.49258000000003</v>
      </c>
      <c r="F78" s="45">
        <v>427.56122999999997</v>
      </c>
      <c r="G78" s="45">
        <v>443.13391000000001</v>
      </c>
      <c r="H78" s="60">
        <v>493.06968000000001</v>
      </c>
    </row>
    <row r="79" spans="1:8" ht="16" x14ac:dyDescent="0.2">
      <c r="A79" s="44">
        <v>500808</v>
      </c>
      <c r="B79" s="42" t="s">
        <v>225</v>
      </c>
      <c r="C79" s="42" t="s">
        <v>226</v>
      </c>
      <c r="D79" s="45">
        <v>427.93299999999999</v>
      </c>
      <c r="E79" s="45">
        <v>403.74870000000004</v>
      </c>
      <c r="F79" s="45">
        <v>444.46792999999997</v>
      </c>
      <c r="G79" s="45">
        <v>455.97452000000004</v>
      </c>
      <c r="H79" s="60">
        <v>487.24695999999994</v>
      </c>
    </row>
    <row r="80" spans="1:8" ht="16" x14ac:dyDescent="0.2">
      <c r="A80" s="44">
        <v>500973</v>
      </c>
      <c r="B80" s="42" t="s">
        <v>227</v>
      </c>
      <c r="C80" s="42" t="s">
        <v>228</v>
      </c>
      <c r="D80" s="45">
        <v>274.89638000000002</v>
      </c>
      <c r="E80" s="45">
        <v>343.82711000000006</v>
      </c>
      <c r="F80" s="45">
        <v>385.41407999999996</v>
      </c>
      <c r="G80" s="45">
        <v>436.79028000000005</v>
      </c>
      <c r="H80" s="60">
        <v>464.21551999999997</v>
      </c>
    </row>
    <row r="81" spans="1:8" ht="16" x14ac:dyDescent="0.2">
      <c r="A81" s="44">
        <v>500040</v>
      </c>
      <c r="B81" s="42" t="s">
        <v>229</v>
      </c>
      <c r="C81" s="42" t="s">
        <v>230</v>
      </c>
      <c r="D81" s="45">
        <v>264.32204999999999</v>
      </c>
      <c r="E81" s="45">
        <v>304.98163</v>
      </c>
      <c r="F81" s="45">
        <v>347.30858000000001</v>
      </c>
      <c r="G81" s="45">
        <v>396.16341000000006</v>
      </c>
      <c r="H81" s="60">
        <v>460.96664000000004</v>
      </c>
    </row>
    <row r="82" spans="1:8" ht="16" x14ac:dyDescent="0.2">
      <c r="A82" s="44">
        <v>500125</v>
      </c>
      <c r="B82" s="42" t="s">
        <v>231</v>
      </c>
      <c r="C82" s="42" t="s">
        <v>232</v>
      </c>
      <c r="D82" s="45">
        <v>380.47201000000001</v>
      </c>
      <c r="E82" s="45">
        <v>398.19614000000001</v>
      </c>
      <c r="F82" s="45">
        <v>400.35313000000002</v>
      </c>
      <c r="G82" s="45">
        <v>419.69701000000003</v>
      </c>
      <c r="H82" s="60">
        <v>441.30250999999998</v>
      </c>
    </row>
    <row r="83" spans="1:8" ht="16" x14ac:dyDescent="0.2">
      <c r="A83" s="44">
        <v>500028</v>
      </c>
      <c r="B83" s="42" t="s">
        <v>233</v>
      </c>
      <c r="C83" s="42" t="s">
        <v>234</v>
      </c>
      <c r="D83" s="45">
        <v>413.72844999999995</v>
      </c>
      <c r="E83" s="45">
        <v>421.98501999999996</v>
      </c>
      <c r="F83" s="45">
        <v>443.62925000000001</v>
      </c>
      <c r="G83" s="45">
        <v>472.66827000000001</v>
      </c>
      <c r="H83" s="60">
        <v>438.36426</v>
      </c>
    </row>
    <row r="84" spans="1:8" ht="16" x14ac:dyDescent="0.2">
      <c r="A84" s="44">
        <v>500073</v>
      </c>
      <c r="B84" s="42" t="s">
        <v>235</v>
      </c>
      <c r="C84" s="42" t="s">
        <v>236</v>
      </c>
      <c r="D84" s="45">
        <v>256.05133999999998</v>
      </c>
      <c r="E84" s="45">
        <v>281.53462999999999</v>
      </c>
      <c r="F84" s="45">
        <v>373.70196999999996</v>
      </c>
      <c r="G84" s="45">
        <v>412.19681999999995</v>
      </c>
      <c r="H84" s="60">
        <v>429.02123</v>
      </c>
    </row>
    <row r="85" spans="1:8" ht="16" x14ac:dyDescent="0.2">
      <c r="A85" s="44">
        <v>500753</v>
      </c>
      <c r="B85" s="42" t="s">
        <v>237</v>
      </c>
      <c r="C85" s="42" t="s">
        <v>238</v>
      </c>
      <c r="D85" s="45">
        <v>231.44578999999999</v>
      </c>
      <c r="E85" s="45">
        <v>250.86616999999998</v>
      </c>
      <c r="F85" s="45">
        <v>313.05471</v>
      </c>
      <c r="G85" s="45">
        <v>382.48061000000001</v>
      </c>
      <c r="H85" s="60">
        <v>423.39071000000001</v>
      </c>
    </row>
    <row r="86" spans="1:8" ht="16" x14ac:dyDescent="0.2">
      <c r="A86" s="46">
        <v>501062</v>
      </c>
      <c r="B86" s="42" t="s">
        <v>239</v>
      </c>
      <c r="C86" s="42" t="s">
        <v>240</v>
      </c>
      <c r="D86" s="45">
        <v>126.52599000000001</v>
      </c>
      <c r="E86" s="45">
        <v>224.91177999999999</v>
      </c>
      <c r="F86" s="45">
        <v>266.54259000000002</v>
      </c>
      <c r="G86" s="45">
        <v>374.52850999999998</v>
      </c>
      <c r="H86" s="60">
        <v>409.38778000000002</v>
      </c>
    </row>
    <row r="87" spans="1:8" ht="16" x14ac:dyDescent="0.2">
      <c r="A87" s="46">
        <v>501217</v>
      </c>
      <c r="B87" s="42" t="s">
        <v>241</v>
      </c>
      <c r="C87" s="42" t="s">
        <v>242</v>
      </c>
      <c r="D87" s="45">
        <v>0</v>
      </c>
      <c r="E87" s="45">
        <v>0</v>
      </c>
      <c r="F87" s="45">
        <v>0</v>
      </c>
      <c r="G87" s="45">
        <v>32.055009999999996</v>
      </c>
      <c r="H87" s="60">
        <v>408.71359999999999</v>
      </c>
    </row>
    <row r="88" spans="1:8" ht="16" x14ac:dyDescent="0.2">
      <c r="A88" s="46">
        <v>501047</v>
      </c>
      <c r="B88" s="42" t="s">
        <v>243</v>
      </c>
      <c r="C88" s="42" t="s">
        <v>244</v>
      </c>
      <c r="D88" s="45">
        <v>149.33360000000002</v>
      </c>
      <c r="E88" s="45">
        <v>237.63165000000004</v>
      </c>
      <c r="F88" s="45">
        <v>283.13504999999998</v>
      </c>
      <c r="G88" s="45">
        <v>309.31324999999998</v>
      </c>
      <c r="H88" s="60">
        <v>390.79539</v>
      </c>
    </row>
    <row r="89" spans="1:8" ht="16" x14ac:dyDescent="0.2">
      <c r="A89" s="46">
        <v>501101</v>
      </c>
      <c r="B89" s="42" t="s">
        <v>245</v>
      </c>
      <c r="C89" s="42" t="e">
        <f>_xlfn.XLOOKUP(B89,'[1]MDB-Auszug 09.01.2026'!D:D,'[1]MDB-Auszug 09.01.2026'!A:A)</f>
        <v>#N/A</v>
      </c>
      <c r="D89" s="45">
        <v>18.210360000000001</v>
      </c>
      <c r="E89" s="45">
        <v>126.40589</v>
      </c>
      <c r="F89" s="45">
        <v>221.39793</v>
      </c>
      <c r="G89" s="45">
        <v>286.36311999999998</v>
      </c>
      <c r="H89" s="60">
        <v>390.43331000000001</v>
      </c>
    </row>
    <row r="90" spans="1:8" ht="16" x14ac:dyDescent="0.2">
      <c r="A90" s="44">
        <v>500031</v>
      </c>
      <c r="B90" s="42" t="s">
        <v>246</v>
      </c>
      <c r="C90" s="42" t="s">
        <v>247</v>
      </c>
      <c r="D90" s="45">
        <v>295.03354000000002</v>
      </c>
      <c r="E90" s="45">
        <v>316.56175999999994</v>
      </c>
      <c r="F90" s="45">
        <v>343.78469999999999</v>
      </c>
      <c r="G90" s="45">
        <v>361.92174999999997</v>
      </c>
      <c r="H90" s="60">
        <v>389.50394</v>
      </c>
    </row>
    <row r="91" spans="1:8" ht="16" x14ac:dyDescent="0.2">
      <c r="A91" s="46">
        <v>501169</v>
      </c>
      <c r="B91" s="42" t="s">
        <v>248</v>
      </c>
      <c r="C91" s="42" t="s">
        <v>249</v>
      </c>
      <c r="D91" s="45">
        <v>0</v>
      </c>
      <c r="E91" s="45">
        <v>0</v>
      </c>
      <c r="F91" s="45">
        <v>0</v>
      </c>
      <c r="G91" s="45">
        <v>183.00575000000001</v>
      </c>
      <c r="H91" s="60">
        <v>386.92250000000001</v>
      </c>
    </row>
    <row r="92" spans="1:8" ht="16" x14ac:dyDescent="0.2">
      <c r="A92" s="44">
        <v>500075</v>
      </c>
      <c r="B92" s="42" t="s">
        <v>250</v>
      </c>
      <c r="C92" s="42" t="s">
        <v>251</v>
      </c>
      <c r="D92" s="45">
        <v>210.52600000000001</v>
      </c>
      <c r="E92" s="45">
        <v>241.07513</v>
      </c>
      <c r="F92" s="45">
        <v>293.94541000000004</v>
      </c>
      <c r="G92" s="45">
        <v>352.29591000000005</v>
      </c>
      <c r="H92" s="60">
        <v>380.16752000000002</v>
      </c>
    </row>
    <row r="93" spans="1:8" ht="16" x14ac:dyDescent="0.2">
      <c r="A93" s="46">
        <v>500945</v>
      </c>
      <c r="B93" s="42" t="s">
        <v>252</v>
      </c>
      <c r="C93" s="42" t="s">
        <v>253</v>
      </c>
      <c r="D93" s="45">
        <v>156.15635</v>
      </c>
      <c r="E93" s="45">
        <v>206.6661</v>
      </c>
      <c r="F93" s="45">
        <v>254.46673000000001</v>
      </c>
      <c r="G93" s="45">
        <v>303.62639000000001</v>
      </c>
      <c r="H93" s="60">
        <v>379.15535</v>
      </c>
    </row>
    <row r="94" spans="1:8" ht="16" x14ac:dyDescent="0.2">
      <c r="A94" s="46">
        <v>501032</v>
      </c>
      <c r="B94" s="42" t="s">
        <v>254</v>
      </c>
      <c r="C94" s="42" t="s">
        <v>255</v>
      </c>
      <c r="D94" s="45">
        <v>153.22005999999999</v>
      </c>
      <c r="E94" s="45">
        <v>193.50164999999998</v>
      </c>
      <c r="F94" s="45">
        <v>265.77931000000001</v>
      </c>
      <c r="G94" s="45">
        <v>332.25764000000004</v>
      </c>
      <c r="H94" s="60">
        <v>373.70395000000002</v>
      </c>
    </row>
    <row r="95" spans="1:8" ht="16" x14ac:dyDescent="0.2">
      <c r="A95" s="44">
        <v>500079</v>
      </c>
      <c r="B95" s="42" t="s">
        <v>256</v>
      </c>
      <c r="C95" s="42" t="s">
        <v>257</v>
      </c>
      <c r="D95" s="45">
        <v>225.90060999999997</v>
      </c>
      <c r="E95" s="45">
        <v>246.58534999999998</v>
      </c>
      <c r="F95" s="45">
        <v>290.27499</v>
      </c>
      <c r="G95" s="45">
        <v>340.99402000000003</v>
      </c>
      <c r="H95" s="60">
        <v>370.16883000000001</v>
      </c>
    </row>
    <row r="96" spans="1:8" ht="16" x14ac:dyDescent="0.2">
      <c r="A96" s="44">
        <v>500088</v>
      </c>
      <c r="B96" s="42" t="s">
        <v>258</v>
      </c>
      <c r="C96" s="42" t="s">
        <v>259</v>
      </c>
      <c r="D96" s="45">
        <v>268.06908999999996</v>
      </c>
      <c r="E96" s="45">
        <v>291.19092000000006</v>
      </c>
      <c r="F96" s="45">
        <v>311.26539000000002</v>
      </c>
      <c r="G96" s="45">
        <v>330.67432000000002</v>
      </c>
      <c r="H96" s="60">
        <v>360.25311999999997</v>
      </c>
    </row>
    <row r="97" spans="1:8" ht="16" x14ac:dyDescent="0.2">
      <c r="A97" s="44">
        <v>500179</v>
      </c>
      <c r="B97" s="42" t="s">
        <v>260</v>
      </c>
      <c r="C97" s="42" t="s">
        <v>261</v>
      </c>
      <c r="D97" s="45">
        <v>256.30734999999999</v>
      </c>
      <c r="E97" s="45">
        <v>289.02643</v>
      </c>
      <c r="F97" s="45">
        <v>300.06306999999998</v>
      </c>
      <c r="G97" s="45">
        <v>338.44545999999997</v>
      </c>
      <c r="H97" s="60">
        <v>343.96505000000002</v>
      </c>
    </row>
    <row r="98" spans="1:8" ht="16" x14ac:dyDescent="0.2">
      <c r="A98" s="44">
        <v>500114</v>
      </c>
      <c r="B98" s="42" t="s">
        <v>262</v>
      </c>
      <c r="C98" s="42" t="s">
        <v>263</v>
      </c>
      <c r="D98" s="45">
        <v>290.83077000000003</v>
      </c>
      <c r="E98" s="45">
        <v>314.15512999999999</v>
      </c>
      <c r="F98" s="45">
        <v>334.25903000000005</v>
      </c>
      <c r="G98" s="45">
        <v>330.34640000000002</v>
      </c>
      <c r="H98" s="60">
        <v>336.84417000000002</v>
      </c>
    </row>
    <row r="99" spans="1:8" ht="16" x14ac:dyDescent="0.2">
      <c r="A99" s="46">
        <v>501102</v>
      </c>
      <c r="B99" s="42" t="s">
        <v>264</v>
      </c>
      <c r="C99" s="42" t="e">
        <f>_xlfn.XLOOKUP(B99,'[1]MDB-Auszug 09.01.2026'!D:D,'[1]MDB-Auszug 09.01.2026'!A:A)</f>
        <v>#N/A</v>
      </c>
      <c r="D99" s="45">
        <v>36.452400000000004</v>
      </c>
      <c r="E99" s="45">
        <v>93.4345</v>
      </c>
      <c r="F99" s="45">
        <v>184.64755</v>
      </c>
      <c r="G99" s="45">
        <v>252.38882999999998</v>
      </c>
      <c r="H99" s="60">
        <v>334.19059999999996</v>
      </c>
    </row>
    <row r="100" spans="1:8" ht="16" x14ac:dyDescent="0.2">
      <c r="A100" s="44">
        <v>500661</v>
      </c>
      <c r="B100" s="42" t="s">
        <v>265</v>
      </c>
      <c r="C100" s="42" t="s">
        <v>266</v>
      </c>
      <c r="D100" s="45">
        <v>218.59906000000001</v>
      </c>
      <c r="E100" s="45">
        <v>250.17671000000001</v>
      </c>
      <c r="F100" s="45">
        <v>280.77772999999996</v>
      </c>
      <c r="G100" s="45">
        <v>297.58564000000001</v>
      </c>
      <c r="H100" s="60">
        <v>329.06794000000002</v>
      </c>
    </row>
    <row r="101" spans="1:8" ht="16" x14ac:dyDescent="0.2">
      <c r="A101" s="44">
        <v>500115</v>
      </c>
      <c r="B101" s="42" t="s">
        <v>267</v>
      </c>
      <c r="C101" s="42" t="s">
        <v>268</v>
      </c>
      <c r="D101" s="45">
        <v>290</v>
      </c>
      <c r="E101" s="45">
        <v>300</v>
      </c>
      <c r="F101" s="45">
        <v>300</v>
      </c>
      <c r="G101" s="45">
        <v>313.5</v>
      </c>
      <c r="H101" s="60">
        <v>327</v>
      </c>
    </row>
    <row r="102" spans="1:8" ht="16" x14ac:dyDescent="0.2">
      <c r="A102" s="46">
        <v>500937</v>
      </c>
      <c r="B102" s="42" t="s">
        <v>269</v>
      </c>
      <c r="C102" s="42" t="s">
        <v>270</v>
      </c>
      <c r="D102" s="45">
        <v>148.86833000000001</v>
      </c>
      <c r="E102" s="45">
        <v>188.24260000000004</v>
      </c>
      <c r="F102" s="45">
        <v>223.00899999999999</v>
      </c>
      <c r="G102" s="45">
        <v>267.52501000000001</v>
      </c>
      <c r="H102" s="60">
        <v>311.32711</v>
      </c>
    </row>
    <row r="103" spans="1:8" ht="16" x14ac:dyDescent="0.2">
      <c r="A103" s="44">
        <v>500935</v>
      </c>
      <c r="B103" s="42" t="s">
        <v>271</v>
      </c>
      <c r="C103" s="42" t="s">
        <v>272</v>
      </c>
      <c r="D103" s="45">
        <v>135.93980999999999</v>
      </c>
      <c r="E103" s="45">
        <v>176.39762999999999</v>
      </c>
      <c r="F103" s="45">
        <v>234.71316999999999</v>
      </c>
      <c r="G103" s="45">
        <v>265.55284999999998</v>
      </c>
      <c r="H103" s="60">
        <v>309.42697999999996</v>
      </c>
    </row>
    <row r="104" spans="1:8" ht="16" x14ac:dyDescent="0.2">
      <c r="A104" s="44">
        <v>500162</v>
      </c>
      <c r="B104" s="42" t="s">
        <v>273</v>
      </c>
      <c r="C104" s="42" t="s">
        <v>274</v>
      </c>
      <c r="D104" s="45">
        <v>269.8032</v>
      </c>
      <c r="E104" s="45">
        <v>267.59270000000004</v>
      </c>
      <c r="F104" s="45">
        <v>276.18008999999995</v>
      </c>
      <c r="G104" s="45">
        <v>298.84703000000002</v>
      </c>
      <c r="H104" s="60">
        <v>309.31791999999996</v>
      </c>
    </row>
    <row r="105" spans="1:8" ht="16" x14ac:dyDescent="0.2">
      <c r="A105" s="46">
        <v>501015</v>
      </c>
      <c r="B105" s="42" t="s">
        <v>275</v>
      </c>
      <c r="C105" s="42" t="s">
        <v>276</v>
      </c>
      <c r="D105" s="45">
        <v>124.57055</v>
      </c>
      <c r="E105" s="45">
        <v>156.18790000000001</v>
      </c>
      <c r="F105" s="45">
        <v>203.49251000000001</v>
      </c>
      <c r="G105" s="45">
        <v>259.02298999999999</v>
      </c>
      <c r="H105" s="60">
        <v>309.24218999999999</v>
      </c>
    </row>
    <row r="106" spans="1:8" ht="16" x14ac:dyDescent="0.2">
      <c r="A106" s="44">
        <v>500101</v>
      </c>
      <c r="B106" s="42" t="s">
        <v>277</v>
      </c>
      <c r="C106" s="48" t="s">
        <v>278</v>
      </c>
      <c r="D106" s="45">
        <v>322.29225000000002</v>
      </c>
      <c r="E106" s="45">
        <v>344.76612</v>
      </c>
      <c r="F106" s="45">
        <v>364.87243000000001</v>
      </c>
      <c r="G106" s="45">
        <v>354.19648000000001</v>
      </c>
      <c r="H106" s="60">
        <v>306.48944</v>
      </c>
    </row>
    <row r="107" spans="1:8" ht="16" x14ac:dyDescent="0.2">
      <c r="A107" s="44">
        <v>500076</v>
      </c>
      <c r="B107" s="42" t="s">
        <v>279</v>
      </c>
      <c r="C107" s="42" t="s">
        <v>280</v>
      </c>
      <c r="D107" s="45">
        <v>173.64771000000002</v>
      </c>
      <c r="E107" s="45">
        <v>197.21054000000004</v>
      </c>
      <c r="F107" s="45">
        <v>229.34654999999998</v>
      </c>
      <c r="G107" s="45">
        <v>273.47691000000003</v>
      </c>
      <c r="H107" s="60">
        <v>306.19776000000002</v>
      </c>
    </row>
    <row r="108" spans="1:8" ht="16" x14ac:dyDescent="0.2">
      <c r="A108" s="44">
        <v>500842</v>
      </c>
      <c r="B108" s="42" t="s">
        <v>281</v>
      </c>
      <c r="C108" s="42" t="s">
        <v>282</v>
      </c>
      <c r="D108" s="45">
        <v>134.42661999999999</v>
      </c>
      <c r="E108" s="45">
        <v>167.00402000000003</v>
      </c>
      <c r="F108" s="45">
        <v>194.75494</v>
      </c>
      <c r="G108" s="45">
        <v>267.85379999999998</v>
      </c>
      <c r="H108" s="60">
        <v>305.38094999999993</v>
      </c>
    </row>
    <row r="109" spans="1:8" ht="16" x14ac:dyDescent="0.2">
      <c r="A109" s="44">
        <v>500004</v>
      </c>
      <c r="B109" s="42" t="s">
        <v>283</v>
      </c>
      <c r="C109" s="42" t="s">
        <v>284</v>
      </c>
      <c r="D109" s="45">
        <v>260.58821</v>
      </c>
      <c r="E109" s="45">
        <v>277.10922999999997</v>
      </c>
      <c r="F109" s="45">
        <v>286.78255999999999</v>
      </c>
      <c r="G109" s="45">
        <v>308.92096999999995</v>
      </c>
      <c r="H109" s="60">
        <v>304.91644000000002</v>
      </c>
    </row>
    <row r="110" spans="1:8" ht="16" x14ac:dyDescent="0.2">
      <c r="A110" s="46">
        <v>501230</v>
      </c>
      <c r="B110" s="42" t="s">
        <v>285</v>
      </c>
      <c r="C110" s="42" t="s">
        <v>286</v>
      </c>
      <c r="D110" s="45">
        <v>0</v>
      </c>
      <c r="E110" s="45">
        <v>0</v>
      </c>
      <c r="F110" s="45">
        <v>0</v>
      </c>
      <c r="G110" s="45">
        <v>0</v>
      </c>
      <c r="H110" s="60">
        <v>295.00165999999996</v>
      </c>
    </row>
    <row r="111" spans="1:8" ht="16" x14ac:dyDescent="0.2">
      <c r="A111" s="44">
        <v>500657</v>
      </c>
      <c r="B111" s="42" t="s">
        <v>287</v>
      </c>
      <c r="C111" s="42" t="s">
        <v>288</v>
      </c>
      <c r="D111" s="45">
        <v>245.11994000000001</v>
      </c>
      <c r="E111" s="45">
        <v>237.58458000000002</v>
      </c>
      <c r="F111" s="45">
        <v>236.67444</v>
      </c>
      <c r="G111" s="45">
        <v>267.65825999999998</v>
      </c>
      <c r="H111" s="60">
        <v>281.88739000000004</v>
      </c>
    </row>
    <row r="112" spans="1:8" ht="16" x14ac:dyDescent="0.2">
      <c r="A112" s="44">
        <v>500673</v>
      </c>
      <c r="B112" s="42" t="s">
        <v>289</v>
      </c>
      <c r="C112" s="42" t="s">
        <v>290</v>
      </c>
      <c r="D112" s="45">
        <v>192.91122000000001</v>
      </c>
      <c r="E112" s="45">
        <v>211.11599000000001</v>
      </c>
      <c r="F112" s="45">
        <v>231.80847999999997</v>
      </c>
      <c r="G112" s="45">
        <v>263.36151000000001</v>
      </c>
      <c r="H112" s="60">
        <v>280.68592000000007</v>
      </c>
    </row>
    <row r="113" spans="1:8" ht="16" x14ac:dyDescent="0.2">
      <c r="A113" s="46">
        <v>500887</v>
      </c>
      <c r="B113" s="42" t="s">
        <v>291</v>
      </c>
      <c r="C113" s="42" t="s">
        <v>292</v>
      </c>
      <c r="D113" s="45">
        <v>0</v>
      </c>
      <c r="E113" s="45">
        <v>299</v>
      </c>
      <c r="F113" s="45">
        <v>253</v>
      </c>
      <c r="G113" s="45">
        <v>299</v>
      </c>
      <c r="H113" s="60">
        <v>276</v>
      </c>
    </row>
    <row r="114" spans="1:8" ht="16" x14ac:dyDescent="0.2">
      <c r="A114" s="46">
        <v>501021</v>
      </c>
      <c r="B114" s="42" t="s">
        <v>293</v>
      </c>
      <c r="C114" s="42" t="s">
        <v>294</v>
      </c>
      <c r="D114" s="45">
        <v>198.75622000000001</v>
      </c>
      <c r="E114" s="45">
        <v>244.06746999999999</v>
      </c>
      <c r="F114" s="45">
        <v>219.62532000000002</v>
      </c>
      <c r="G114" s="45">
        <v>230.4375</v>
      </c>
      <c r="H114" s="60">
        <v>261.24793</v>
      </c>
    </row>
    <row r="115" spans="1:8" ht="16" x14ac:dyDescent="0.2">
      <c r="A115" s="44">
        <v>500918</v>
      </c>
      <c r="B115" s="42" t="s">
        <v>295</v>
      </c>
      <c r="C115" s="42" t="s">
        <v>296</v>
      </c>
      <c r="D115" s="45">
        <v>203.34589000000003</v>
      </c>
      <c r="E115" s="45">
        <v>222.96101999999996</v>
      </c>
      <c r="F115" s="45">
        <v>224.62321000000003</v>
      </c>
      <c r="G115" s="45">
        <v>246.94352999999998</v>
      </c>
      <c r="H115" s="60">
        <v>255.16188</v>
      </c>
    </row>
    <row r="116" spans="1:8" ht="16" x14ac:dyDescent="0.2">
      <c r="A116" s="44">
        <v>500166</v>
      </c>
      <c r="B116" s="42" t="s">
        <v>297</v>
      </c>
      <c r="C116" s="42" t="s">
        <v>298</v>
      </c>
      <c r="D116" s="45">
        <v>213.29492999999999</v>
      </c>
      <c r="E116" s="45">
        <v>241.26655</v>
      </c>
      <c r="F116" s="45">
        <v>284.46949999999998</v>
      </c>
      <c r="G116" s="45">
        <v>273.67582999999996</v>
      </c>
      <c r="H116" s="60">
        <v>248.38288</v>
      </c>
    </row>
    <row r="117" spans="1:8" ht="16" x14ac:dyDescent="0.2">
      <c r="A117" s="44">
        <v>500128</v>
      </c>
      <c r="B117" s="42" t="s">
        <v>299</v>
      </c>
      <c r="C117" s="42" t="s">
        <v>300</v>
      </c>
      <c r="D117" s="45">
        <v>175.38855999999998</v>
      </c>
      <c r="E117" s="45">
        <v>192.60220000000001</v>
      </c>
      <c r="F117" s="45">
        <v>205.41113000000001</v>
      </c>
      <c r="G117" s="45">
        <v>229.80002000000002</v>
      </c>
      <c r="H117" s="60">
        <v>243.51435999999998</v>
      </c>
    </row>
    <row r="118" spans="1:8" ht="16" x14ac:dyDescent="0.2">
      <c r="A118" s="44">
        <v>500846</v>
      </c>
      <c r="B118" s="42" t="s">
        <v>301</v>
      </c>
      <c r="C118" s="42" t="s">
        <v>302</v>
      </c>
      <c r="D118" s="45">
        <v>138.92457999999999</v>
      </c>
      <c r="E118" s="45">
        <v>163.80597000000003</v>
      </c>
      <c r="F118" s="45">
        <v>198.42133000000001</v>
      </c>
      <c r="G118" s="45">
        <v>215.64026999999999</v>
      </c>
      <c r="H118" s="60">
        <v>232.98257000000001</v>
      </c>
    </row>
    <row r="119" spans="1:8" ht="16" x14ac:dyDescent="0.2">
      <c r="A119" s="44">
        <v>500612</v>
      </c>
      <c r="B119" s="42" t="s">
        <v>303</v>
      </c>
      <c r="C119" s="42" t="s">
        <v>304</v>
      </c>
      <c r="D119" s="45">
        <v>122.30144</v>
      </c>
      <c r="E119" s="45">
        <v>148.05043000000001</v>
      </c>
      <c r="F119" s="45">
        <v>171.46587</v>
      </c>
      <c r="G119" s="45">
        <v>194.54316999999998</v>
      </c>
      <c r="H119" s="60">
        <v>230.13964999999999</v>
      </c>
    </row>
    <row r="120" spans="1:8" ht="16" x14ac:dyDescent="0.2">
      <c r="A120" s="44">
        <v>500105</v>
      </c>
      <c r="B120" s="42" t="s">
        <v>305</v>
      </c>
      <c r="C120" s="42" t="s">
        <v>306</v>
      </c>
      <c r="D120" s="45">
        <v>178.21984999999998</v>
      </c>
      <c r="E120" s="45">
        <v>184.16046000000003</v>
      </c>
      <c r="F120" s="45">
        <v>185.21036999999998</v>
      </c>
      <c r="G120" s="45">
        <v>211.89070000000001</v>
      </c>
      <c r="H120" s="60">
        <v>227.28102000000001</v>
      </c>
    </row>
    <row r="121" spans="1:8" ht="16" x14ac:dyDescent="0.2">
      <c r="A121" s="46">
        <v>500963</v>
      </c>
      <c r="B121" s="42" t="s">
        <v>307</v>
      </c>
      <c r="C121" s="42" t="s">
        <v>308</v>
      </c>
      <c r="D121" s="45">
        <v>138.84442000000001</v>
      </c>
      <c r="E121" s="45">
        <v>177.55464999999995</v>
      </c>
      <c r="F121" s="45">
        <v>202.99664000000001</v>
      </c>
      <c r="G121" s="45">
        <v>215.96047999999999</v>
      </c>
      <c r="H121" s="60">
        <v>223.37299999999999</v>
      </c>
    </row>
    <row r="122" spans="1:8" ht="16" x14ac:dyDescent="0.2">
      <c r="A122" s="46">
        <v>500512</v>
      </c>
      <c r="B122" s="42" t="s">
        <v>309</v>
      </c>
      <c r="C122" s="42" t="s">
        <v>310</v>
      </c>
      <c r="D122" s="45">
        <v>36.945999999999998</v>
      </c>
      <c r="E122" s="45">
        <v>78.650059999999996</v>
      </c>
      <c r="F122" s="45">
        <v>135.9076</v>
      </c>
      <c r="G122" s="45">
        <v>179.16785000000002</v>
      </c>
      <c r="H122" s="60">
        <v>219.01133000000002</v>
      </c>
    </row>
    <row r="123" spans="1:8" ht="16" x14ac:dyDescent="0.2">
      <c r="A123" s="46">
        <v>501139</v>
      </c>
      <c r="B123" s="42" t="s">
        <v>311</v>
      </c>
      <c r="C123" s="42" t="s">
        <v>312</v>
      </c>
      <c r="D123" s="45">
        <v>0</v>
      </c>
      <c r="E123" s="45">
        <v>0</v>
      </c>
      <c r="F123" s="45">
        <v>41.258559999999996</v>
      </c>
      <c r="G123" s="45">
        <v>154.97714999999999</v>
      </c>
      <c r="H123" s="60">
        <v>217.25379999999998</v>
      </c>
    </row>
    <row r="124" spans="1:8" ht="16" x14ac:dyDescent="0.2">
      <c r="A124" s="44">
        <v>500944</v>
      </c>
      <c r="B124" s="42" t="s">
        <v>313</v>
      </c>
      <c r="C124" s="42" t="s">
        <v>314</v>
      </c>
      <c r="D124" s="45">
        <v>123.80371000000001</v>
      </c>
      <c r="E124" s="45">
        <v>144.97972000000001</v>
      </c>
      <c r="F124" s="45">
        <v>168.67814999999999</v>
      </c>
      <c r="G124" s="45">
        <v>194.2646</v>
      </c>
      <c r="H124" s="60">
        <v>211.8493</v>
      </c>
    </row>
    <row r="125" spans="1:8" ht="16" x14ac:dyDescent="0.2">
      <c r="A125" s="46">
        <v>501038</v>
      </c>
      <c r="B125" s="42" t="s">
        <v>315</v>
      </c>
      <c r="C125" s="42" t="s">
        <v>316</v>
      </c>
      <c r="D125" s="45">
        <v>46.063760000000002</v>
      </c>
      <c r="E125" s="45">
        <v>90.452330000000003</v>
      </c>
      <c r="F125" s="45">
        <v>135.23088000000001</v>
      </c>
      <c r="G125" s="45">
        <v>182.45760000000001</v>
      </c>
      <c r="H125" s="60">
        <v>211.33234999999996</v>
      </c>
    </row>
    <row r="126" spans="1:8" ht="16" x14ac:dyDescent="0.2">
      <c r="A126" s="46">
        <v>500320</v>
      </c>
      <c r="B126" s="42" t="s">
        <v>317</v>
      </c>
      <c r="C126" s="42" t="s">
        <v>318</v>
      </c>
      <c r="D126" s="45">
        <v>0</v>
      </c>
      <c r="E126" s="45">
        <v>1.452</v>
      </c>
      <c r="F126" s="45">
        <v>51.854849999999999</v>
      </c>
      <c r="G126" s="45">
        <v>115.1375</v>
      </c>
      <c r="H126" s="60">
        <v>211.16858000000002</v>
      </c>
    </row>
    <row r="127" spans="1:8" ht="16" x14ac:dyDescent="0.2">
      <c r="A127" s="46">
        <v>500999</v>
      </c>
      <c r="B127" s="42" t="s">
        <v>319</v>
      </c>
      <c r="C127" s="42" t="s">
        <v>320</v>
      </c>
      <c r="D127" s="45">
        <v>113.74719999999999</v>
      </c>
      <c r="E127" s="45">
        <v>167.51315</v>
      </c>
      <c r="F127" s="45">
        <v>198.47926999999999</v>
      </c>
      <c r="G127" s="45">
        <v>197.06075000000001</v>
      </c>
      <c r="H127" s="60">
        <v>210.81682000000001</v>
      </c>
    </row>
    <row r="128" spans="1:8" ht="16" x14ac:dyDescent="0.2">
      <c r="A128" s="44">
        <v>500608</v>
      </c>
      <c r="B128" s="42" t="s">
        <v>321</v>
      </c>
      <c r="C128" s="42" t="s">
        <v>322</v>
      </c>
      <c r="D128" s="45">
        <v>127.16776000000002</v>
      </c>
      <c r="E128" s="45">
        <v>147.03736000000001</v>
      </c>
      <c r="F128" s="45">
        <v>163.02435999999997</v>
      </c>
      <c r="G128" s="45">
        <v>178.91542999999999</v>
      </c>
      <c r="H128" s="60">
        <v>207.43306000000001</v>
      </c>
    </row>
    <row r="129" spans="1:8" ht="16" x14ac:dyDescent="0.2">
      <c r="A129" s="44">
        <v>500669</v>
      </c>
      <c r="B129" s="42" t="s">
        <v>323</v>
      </c>
      <c r="C129" s="42" t="s">
        <v>324</v>
      </c>
      <c r="D129" s="45">
        <v>152.66483000000002</v>
      </c>
      <c r="E129" s="45">
        <v>164.69009999999997</v>
      </c>
      <c r="F129" s="45">
        <v>173.19310999999999</v>
      </c>
      <c r="G129" s="45">
        <v>186.71038000000001</v>
      </c>
      <c r="H129" s="60">
        <v>194.46674999999999</v>
      </c>
    </row>
    <row r="130" spans="1:8" ht="16" x14ac:dyDescent="0.2">
      <c r="A130" s="46">
        <v>501020</v>
      </c>
      <c r="B130" s="42" t="s">
        <v>325</v>
      </c>
      <c r="C130" s="42" t="s">
        <v>326</v>
      </c>
      <c r="D130" s="45">
        <v>82.710499999999996</v>
      </c>
      <c r="E130" s="45">
        <v>108.76953</v>
      </c>
      <c r="F130" s="45">
        <v>137.79383000000001</v>
      </c>
      <c r="G130" s="45">
        <v>164.47640000000001</v>
      </c>
      <c r="H130" s="60">
        <v>194.38413</v>
      </c>
    </row>
    <row r="131" spans="1:8" ht="16" x14ac:dyDescent="0.2">
      <c r="A131" s="44">
        <v>500815</v>
      </c>
      <c r="B131" s="42" t="s">
        <v>327</v>
      </c>
      <c r="C131" s="42" t="s">
        <v>328</v>
      </c>
      <c r="D131" s="45">
        <v>390.70371999999998</v>
      </c>
      <c r="E131" s="45">
        <v>428.88401999999883</v>
      </c>
      <c r="F131" s="45">
        <v>439.34518999999995</v>
      </c>
      <c r="G131" s="45">
        <v>442.13024999999999</v>
      </c>
      <c r="H131" s="60">
        <v>189.33310999999998</v>
      </c>
    </row>
    <row r="132" spans="1:8" ht="16" x14ac:dyDescent="0.2">
      <c r="A132" s="44">
        <v>500083</v>
      </c>
      <c r="B132" s="42" t="s">
        <v>329</v>
      </c>
      <c r="C132" s="42" t="s">
        <v>330</v>
      </c>
      <c r="D132" s="45">
        <v>106.10028</v>
      </c>
      <c r="E132" s="45">
        <v>120.29152999999998</v>
      </c>
      <c r="F132" s="45">
        <v>139.89447000000001</v>
      </c>
      <c r="G132" s="45">
        <v>161.52814000000001</v>
      </c>
      <c r="H132" s="60">
        <v>186.24250000000001</v>
      </c>
    </row>
    <row r="133" spans="1:8" ht="16" x14ac:dyDescent="0.2">
      <c r="A133" s="46">
        <v>500874</v>
      </c>
      <c r="B133" s="42" t="s">
        <v>331</v>
      </c>
      <c r="C133" s="42" t="s">
        <v>332</v>
      </c>
      <c r="D133" s="45">
        <v>64.63109</v>
      </c>
      <c r="E133" s="45">
        <v>93.180179999999993</v>
      </c>
      <c r="F133" s="45">
        <v>118.55674999999999</v>
      </c>
      <c r="G133" s="45">
        <v>138.8441</v>
      </c>
      <c r="H133" s="60">
        <v>182.88139999999999</v>
      </c>
    </row>
    <row r="134" spans="1:8" ht="16" x14ac:dyDescent="0.2">
      <c r="A134" s="44">
        <v>500097</v>
      </c>
      <c r="B134" s="42" t="s">
        <v>333</v>
      </c>
      <c r="C134" s="42" t="s">
        <v>334</v>
      </c>
      <c r="D134" s="45">
        <v>144.59244000000001</v>
      </c>
      <c r="E134" s="45">
        <v>143.96880999999999</v>
      </c>
      <c r="F134" s="45">
        <v>152.69516000000002</v>
      </c>
      <c r="G134" s="45">
        <v>169.37682000000001</v>
      </c>
      <c r="H134" s="60">
        <v>181.88398999999998</v>
      </c>
    </row>
    <row r="135" spans="1:8" ht="16" x14ac:dyDescent="0.2">
      <c r="A135" s="46">
        <v>501089</v>
      </c>
      <c r="B135" s="42" t="s">
        <v>335</v>
      </c>
      <c r="C135" s="42" t="e">
        <f>_xlfn.XLOOKUP(B135,'[1]MDB-Auszug 09.01.2026'!D:D,'[1]MDB-Auszug 09.01.2026'!A:A)</f>
        <v>#N/A</v>
      </c>
      <c r="D135" s="45">
        <v>7.7737499999999997</v>
      </c>
      <c r="E135" s="45">
        <v>46.447249999999997</v>
      </c>
      <c r="F135" s="45">
        <v>100.72900999999999</v>
      </c>
      <c r="G135" s="45">
        <v>143.30654999999999</v>
      </c>
      <c r="H135" s="60">
        <v>181.09219000000002</v>
      </c>
    </row>
    <row r="136" spans="1:8" ht="16" x14ac:dyDescent="0.2">
      <c r="A136" s="44">
        <v>500026</v>
      </c>
      <c r="B136" s="42" t="s">
        <v>336</v>
      </c>
      <c r="C136" s="42" t="s">
        <v>337</v>
      </c>
      <c r="D136" s="45">
        <v>211.67606000000001</v>
      </c>
      <c r="E136" s="45">
        <v>205.93132</v>
      </c>
      <c r="F136" s="45">
        <v>196.60604999999998</v>
      </c>
      <c r="G136" s="45">
        <v>187.75657000000001</v>
      </c>
      <c r="H136" s="60">
        <v>181.08472999999998</v>
      </c>
    </row>
    <row r="137" spans="1:8" ht="16" x14ac:dyDescent="0.2">
      <c r="A137" s="46">
        <v>501135</v>
      </c>
      <c r="B137" s="42" t="s">
        <v>338</v>
      </c>
      <c r="C137" s="42" t="s">
        <v>339</v>
      </c>
      <c r="D137" s="45">
        <v>0</v>
      </c>
      <c r="E137" s="45">
        <v>9.28125</v>
      </c>
      <c r="F137" s="45">
        <v>47.354999999999997</v>
      </c>
      <c r="G137" s="45">
        <v>120.6972</v>
      </c>
      <c r="H137" s="60">
        <v>177.28579999999999</v>
      </c>
    </row>
    <row r="138" spans="1:8" ht="16" x14ac:dyDescent="0.2">
      <c r="A138" s="44">
        <v>500178</v>
      </c>
      <c r="B138" s="42" t="s">
        <v>340</v>
      </c>
      <c r="C138" s="42" t="s">
        <v>341</v>
      </c>
      <c r="D138" s="45">
        <v>101.31381</v>
      </c>
      <c r="E138" s="45">
        <v>115.79135999999998</v>
      </c>
      <c r="F138" s="45">
        <v>131.56676000000002</v>
      </c>
      <c r="G138" s="45">
        <v>156.96335999999999</v>
      </c>
      <c r="H138" s="60">
        <v>174.65122</v>
      </c>
    </row>
    <row r="139" spans="1:8" ht="16" x14ac:dyDescent="0.2">
      <c r="A139" s="46">
        <v>501016</v>
      </c>
      <c r="B139" s="42" t="s">
        <v>342</v>
      </c>
      <c r="C139" s="42" t="s">
        <v>343</v>
      </c>
      <c r="D139" s="45">
        <v>110.14891</v>
      </c>
      <c r="E139" s="45">
        <v>139.19575</v>
      </c>
      <c r="F139" s="45">
        <v>158.81328999999999</v>
      </c>
      <c r="G139" s="45">
        <v>169.98709999999997</v>
      </c>
      <c r="H139" s="60">
        <v>169.89812000000001</v>
      </c>
    </row>
    <row r="140" spans="1:8" ht="16" x14ac:dyDescent="0.2">
      <c r="A140" s="46">
        <v>500941</v>
      </c>
      <c r="B140" s="42" t="s">
        <v>344</v>
      </c>
      <c r="C140" s="42" t="s">
        <v>345</v>
      </c>
      <c r="D140" s="45">
        <v>92.682600000000008</v>
      </c>
      <c r="E140" s="45">
        <v>114.1515</v>
      </c>
      <c r="F140" s="45">
        <v>142.44672</v>
      </c>
      <c r="G140" s="45">
        <v>154.79285000000002</v>
      </c>
      <c r="H140" s="60">
        <v>168.70122999999998</v>
      </c>
    </row>
    <row r="141" spans="1:8" ht="16" x14ac:dyDescent="0.2">
      <c r="A141" s="44">
        <v>500619</v>
      </c>
      <c r="B141" s="42" t="s">
        <v>346</v>
      </c>
      <c r="C141" s="42" t="s">
        <v>347</v>
      </c>
      <c r="D141" s="45">
        <v>375.47341999999998</v>
      </c>
      <c r="E141" s="45">
        <v>241.45487</v>
      </c>
      <c r="F141" s="45">
        <v>220.32362000000001</v>
      </c>
      <c r="G141" s="45">
        <v>199.30314999999999</v>
      </c>
      <c r="H141" s="60">
        <v>167.49833000000001</v>
      </c>
    </row>
    <row r="142" spans="1:8" ht="16" x14ac:dyDescent="0.2">
      <c r="A142" s="44">
        <v>500167</v>
      </c>
      <c r="B142" s="42" t="s">
        <v>348</v>
      </c>
      <c r="C142" s="42" t="s">
        <v>349</v>
      </c>
      <c r="D142" s="45">
        <v>215.58240999999998</v>
      </c>
      <c r="E142" s="45">
        <v>201.90629999999999</v>
      </c>
      <c r="F142" s="45">
        <v>186.39750000000001</v>
      </c>
      <c r="G142" s="45">
        <v>167.40490000000003</v>
      </c>
      <c r="H142" s="60">
        <v>165.35520000000002</v>
      </c>
    </row>
    <row r="143" spans="1:8" ht="16" x14ac:dyDescent="0.2">
      <c r="A143" s="46">
        <v>500972</v>
      </c>
      <c r="B143" s="42" t="s">
        <v>350</v>
      </c>
      <c r="C143" s="42" t="s">
        <v>351</v>
      </c>
      <c r="D143" s="45">
        <v>86.598339999999993</v>
      </c>
      <c r="E143" s="45">
        <v>105.05216</v>
      </c>
      <c r="F143" s="45">
        <v>124.13382</v>
      </c>
      <c r="G143" s="45">
        <v>140.15019000000001</v>
      </c>
      <c r="H143" s="60">
        <v>162.78845000000001</v>
      </c>
    </row>
    <row r="144" spans="1:8" ht="16" x14ac:dyDescent="0.2">
      <c r="A144" s="41">
        <v>500161</v>
      </c>
      <c r="B144" s="39" t="s">
        <v>352</v>
      </c>
      <c r="C144" s="39" t="s">
        <v>353</v>
      </c>
      <c r="D144" s="40">
        <v>72.540170000000003</v>
      </c>
      <c r="E144" s="40">
        <v>153.09797999999998</v>
      </c>
      <c r="F144" s="40">
        <v>146.16095999999999</v>
      </c>
      <c r="G144" s="40">
        <v>170.46869000000001</v>
      </c>
      <c r="H144" s="58">
        <v>162.20493999999999</v>
      </c>
    </row>
    <row r="145" spans="1:8" ht="16" x14ac:dyDescent="0.2">
      <c r="A145" s="44">
        <v>500616</v>
      </c>
      <c r="B145" s="42" t="s">
        <v>354</v>
      </c>
      <c r="C145" s="42" t="s">
        <v>355</v>
      </c>
      <c r="D145" s="45">
        <v>108.64197</v>
      </c>
      <c r="E145" s="45">
        <v>132.42747999999997</v>
      </c>
      <c r="F145" s="45">
        <v>139.9178</v>
      </c>
      <c r="G145" s="45">
        <v>147.74296000000001</v>
      </c>
      <c r="H145" s="60">
        <v>161.37776000000002</v>
      </c>
    </row>
    <row r="146" spans="1:8" ht="16" x14ac:dyDescent="0.2">
      <c r="A146" s="46">
        <v>501007</v>
      </c>
      <c r="B146" s="42" t="s">
        <v>356</v>
      </c>
      <c r="C146" s="42" t="s">
        <v>357</v>
      </c>
      <c r="D146" s="45">
        <v>64.735740000000007</v>
      </c>
      <c r="E146" s="45">
        <v>91.713709999999992</v>
      </c>
      <c r="F146" s="45">
        <v>114.20106</v>
      </c>
      <c r="G146" s="45">
        <v>136.07498999999999</v>
      </c>
      <c r="H146" s="60">
        <v>160.72783999999999</v>
      </c>
    </row>
    <row r="147" spans="1:8" ht="16" x14ac:dyDescent="0.2">
      <c r="A147" s="46">
        <v>501017</v>
      </c>
      <c r="B147" s="42" t="s">
        <v>358</v>
      </c>
      <c r="C147" s="42" t="s">
        <v>359</v>
      </c>
      <c r="D147" s="45">
        <v>63.203090000000003</v>
      </c>
      <c r="E147" s="45">
        <v>83.574290000000005</v>
      </c>
      <c r="F147" s="45">
        <v>106.482</v>
      </c>
      <c r="G147" s="45">
        <v>126.93072000000001</v>
      </c>
      <c r="H147" s="60">
        <v>156.6609</v>
      </c>
    </row>
    <row r="148" spans="1:8" ht="16" x14ac:dyDescent="0.2">
      <c r="A148" s="46">
        <v>500980</v>
      </c>
      <c r="B148" s="42" t="s">
        <v>360</v>
      </c>
      <c r="C148" s="42" t="s">
        <v>361</v>
      </c>
      <c r="D148" s="45">
        <v>109.06925</v>
      </c>
      <c r="E148" s="45">
        <v>111.62958999999999</v>
      </c>
      <c r="F148" s="45">
        <v>128.33096</v>
      </c>
      <c r="G148" s="45">
        <v>126.82267</v>
      </c>
      <c r="H148" s="60">
        <v>154.78692999999998</v>
      </c>
    </row>
    <row r="149" spans="1:8" ht="16" x14ac:dyDescent="0.2">
      <c r="A149" s="44">
        <v>500099</v>
      </c>
      <c r="B149" s="42" t="s">
        <v>362</v>
      </c>
      <c r="C149" s="42" t="s">
        <v>363</v>
      </c>
      <c r="D149" s="45">
        <v>187.37610999999998</v>
      </c>
      <c r="E149" s="45">
        <v>169.95039</v>
      </c>
      <c r="F149" s="45">
        <v>168.93567999999999</v>
      </c>
      <c r="G149" s="45">
        <v>163.80617999999998</v>
      </c>
      <c r="H149" s="60">
        <v>151.03653</v>
      </c>
    </row>
    <row r="150" spans="1:8" ht="16" x14ac:dyDescent="0.2">
      <c r="A150" s="46">
        <v>501163</v>
      </c>
      <c r="B150" s="42" t="s">
        <v>364</v>
      </c>
      <c r="C150" s="42" t="s">
        <v>365</v>
      </c>
      <c r="D150" s="45">
        <v>0</v>
      </c>
      <c r="E150" s="45">
        <v>0</v>
      </c>
      <c r="F150" s="45">
        <v>20.585720000000002</v>
      </c>
      <c r="G150" s="45">
        <v>69.354249999999993</v>
      </c>
      <c r="H150" s="60">
        <v>150.02715000000001</v>
      </c>
    </row>
    <row r="151" spans="1:8" ht="16" x14ac:dyDescent="0.2">
      <c r="A151" s="44">
        <v>500080</v>
      </c>
      <c r="B151" s="42" t="s">
        <v>366</v>
      </c>
      <c r="C151" s="42" t="s">
        <v>367</v>
      </c>
      <c r="D151" s="45">
        <v>81.706820000000008</v>
      </c>
      <c r="E151" s="45">
        <v>89.746010000000012</v>
      </c>
      <c r="F151" s="45">
        <v>101.23317999999999</v>
      </c>
      <c r="G151" s="45">
        <v>129.67544999999998</v>
      </c>
      <c r="H151" s="60">
        <v>147.63972999999999</v>
      </c>
    </row>
    <row r="152" spans="1:8" ht="16" x14ac:dyDescent="0.2">
      <c r="A152" s="44">
        <v>500058</v>
      </c>
      <c r="B152" s="42" t="s">
        <v>368</v>
      </c>
      <c r="C152" s="42" t="s">
        <v>369</v>
      </c>
      <c r="D152" s="45">
        <v>113.35204999999999</v>
      </c>
      <c r="E152" s="45">
        <v>113.35136999999999</v>
      </c>
      <c r="F152" s="45">
        <v>127.92331999999999</v>
      </c>
      <c r="G152" s="45">
        <v>137.27874</v>
      </c>
      <c r="H152" s="60">
        <v>143.00102000000001</v>
      </c>
    </row>
    <row r="153" spans="1:8" ht="16" x14ac:dyDescent="0.2">
      <c r="A153" s="46">
        <v>501194</v>
      </c>
      <c r="B153" s="42" t="s">
        <v>370</v>
      </c>
      <c r="C153" s="42" t="s">
        <v>371</v>
      </c>
      <c r="D153" s="45">
        <v>0</v>
      </c>
      <c r="E153" s="45">
        <v>0</v>
      </c>
      <c r="F153" s="45">
        <v>0</v>
      </c>
      <c r="G153" s="45">
        <v>48.782879999999999</v>
      </c>
      <c r="H153" s="60">
        <v>142.09163000000001</v>
      </c>
    </row>
    <row r="154" spans="1:8" ht="16" x14ac:dyDescent="0.2">
      <c r="A154" s="44">
        <v>500126</v>
      </c>
      <c r="B154" s="42" t="s">
        <v>372</v>
      </c>
      <c r="C154" s="42" t="s">
        <v>373</v>
      </c>
      <c r="D154" s="45">
        <v>96.83626000000001</v>
      </c>
      <c r="E154" s="45">
        <v>98.855640000000008</v>
      </c>
      <c r="F154" s="45">
        <v>99.838440000000006</v>
      </c>
      <c r="G154" s="45">
        <v>117.93002</v>
      </c>
      <c r="H154" s="60">
        <v>139.16334000000001</v>
      </c>
    </row>
    <row r="155" spans="1:8" ht="16" x14ac:dyDescent="0.2">
      <c r="A155" s="44">
        <v>500098</v>
      </c>
      <c r="B155" s="42" t="s">
        <v>374</v>
      </c>
      <c r="C155" s="42" t="s">
        <v>375</v>
      </c>
      <c r="D155" s="45">
        <v>123.10885</v>
      </c>
      <c r="E155" s="45">
        <v>115.36830999999999</v>
      </c>
      <c r="F155" s="45">
        <v>125.51891000000001</v>
      </c>
      <c r="G155" s="45">
        <v>128.21212</v>
      </c>
      <c r="H155" s="60">
        <v>138.99110000000002</v>
      </c>
    </row>
    <row r="156" spans="1:8" ht="16" x14ac:dyDescent="0.2">
      <c r="A156" s="46">
        <v>501206</v>
      </c>
      <c r="B156" s="42" t="s">
        <v>376</v>
      </c>
      <c r="C156" s="42" t="s">
        <v>377</v>
      </c>
      <c r="D156" s="45">
        <v>0</v>
      </c>
      <c r="E156" s="45">
        <v>0</v>
      </c>
      <c r="F156" s="45">
        <v>0</v>
      </c>
      <c r="G156" s="45">
        <v>0.59399999999999997</v>
      </c>
      <c r="H156" s="60">
        <v>137.36745000000002</v>
      </c>
    </row>
    <row r="157" spans="1:8" ht="16" x14ac:dyDescent="0.2">
      <c r="A157" s="46">
        <v>500962</v>
      </c>
      <c r="B157" s="42" t="s">
        <v>378</v>
      </c>
      <c r="C157" s="42" t="s">
        <v>379</v>
      </c>
      <c r="D157" s="45">
        <v>88.514800000000008</v>
      </c>
      <c r="E157" s="45">
        <v>100.63680000000001</v>
      </c>
      <c r="F157" s="45">
        <v>105.5472</v>
      </c>
      <c r="G157" s="45">
        <v>121.71720000000001</v>
      </c>
      <c r="H157" s="60">
        <v>136.95772999999997</v>
      </c>
    </row>
    <row r="158" spans="1:8" ht="16" x14ac:dyDescent="0.2">
      <c r="A158" s="44">
        <v>500878</v>
      </c>
      <c r="B158" s="42" t="s">
        <v>380</v>
      </c>
      <c r="C158" s="42" t="s">
        <v>381</v>
      </c>
      <c r="D158" s="45">
        <v>87.082309999999993</v>
      </c>
      <c r="E158" s="45">
        <v>88.069349999999986</v>
      </c>
      <c r="F158" s="45">
        <v>109.99728</v>
      </c>
      <c r="G158" s="45">
        <v>121.65728</v>
      </c>
      <c r="H158" s="60">
        <v>133.39296999999999</v>
      </c>
    </row>
    <row r="159" spans="1:8" ht="16" x14ac:dyDescent="0.2">
      <c r="A159" s="49">
        <v>500749</v>
      </c>
      <c r="B159" s="50" t="s">
        <v>382</v>
      </c>
      <c r="C159" s="50" t="s">
        <v>383</v>
      </c>
      <c r="D159" s="45">
        <v>62.397479999999995</v>
      </c>
      <c r="E159" s="45">
        <v>69.376550000000009</v>
      </c>
      <c r="F159" s="45">
        <v>87.397329999999997</v>
      </c>
      <c r="G159" s="45">
        <v>101.75720999999999</v>
      </c>
      <c r="H159" s="60">
        <v>132.09738999999999</v>
      </c>
    </row>
    <row r="160" spans="1:8" ht="16" x14ac:dyDescent="0.2">
      <c r="A160" s="46">
        <v>501253</v>
      </c>
      <c r="B160" s="42" t="s">
        <v>384</v>
      </c>
      <c r="C160" s="42" t="s">
        <v>385</v>
      </c>
      <c r="D160" s="45">
        <v>0</v>
      </c>
      <c r="E160" s="45">
        <v>0</v>
      </c>
      <c r="F160" s="45">
        <v>0</v>
      </c>
      <c r="G160" s="45">
        <v>0</v>
      </c>
      <c r="H160" s="60">
        <v>129.08204000000001</v>
      </c>
    </row>
    <row r="161" spans="1:8" ht="16" x14ac:dyDescent="0.2">
      <c r="A161" s="46">
        <v>500942</v>
      </c>
      <c r="B161" s="42" t="s">
        <v>386</v>
      </c>
      <c r="C161" s="42" t="s">
        <v>387</v>
      </c>
      <c r="D161" s="45">
        <v>84.614009999999993</v>
      </c>
      <c r="E161" s="45">
        <v>90.223399999999998</v>
      </c>
      <c r="F161" s="45">
        <v>97.915189999999996</v>
      </c>
      <c r="G161" s="45">
        <v>119.23925</v>
      </c>
      <c r="H161" s="60">
        <v>124.18560000000001</v>
      </c>
    </row>
    <row r="162" spans="1:8" ht="16" x14ac:dyDescent="0.2">
      <c r="A162" s="44">
        <v>500027</v>
      </c>
      <c r="B162" s="42" t="s">
        <v>388</v>
      </c>
      <c r="C162" s="42" t="s">
        <v>389</v>
      </c>
      <c r="D162" s="45">
        <v>115.19727999999999</v>
      </c>
      <c r="E162" s="45">
        <v>112.32071999999998</v>
      </c>
      <c r="F162" s="45">
        <v>126.47108</v>
      </c>
      <c r="G162" s="45">
        <v>124.37217000000001</v>
      </c>
      <c r="H162" s="60">
        <v>120.68516000000001</v>
      </c>
    </row>
    <row r="163" spans="1:8" ht="16" x14ac:dyDescent="0.2">
      <c r="A163" s="46">
        <v>501019</v>
      </c>
      <c r="B163" s="42" t="s">
        <v>390</v>
      </c>
      <c r="C163" s="42" t="s">
        <v>391</v>
      </c>
      <c r="D163" s="45">
        <v>35.390660000000004</v>
      </c>
      <c r="E163" s="45">
        <v>45.854179999999999</v>
      </c>
      <c r="F163" s="45">
        <v>58.151499999999999</v>
      </c>
      <c r="G163" s="45">
        <v>89.802350000000004</v>
      </c>
      <c r="H163" s="60">
        <v>118.88652</v>
      </c>
    </row>
    <row r="164" spans="1:8" ht="16" x14ac:dyDescent="0.2">
      <c r="A164" s="46">
        <v>500938</v>
      </c>
      <c r="B164" s="42" t="s">
        <v>392</v>
      </c>
      <c r="C164" s="42" t="s">
        <v>393</v>
      </c>
      <c r="D164" s="45">
        <v>66.142179999999996</v>
      </c>
      <c r="E164" s="45">
        <v>79.425560000000004</v>
      </c>
      <c r="F164" s="45">
        <v>88.197869999999995</v>
      </c>
      <c r="G164" s="45">
        <v>104.12929000000001</v>
      </c>
      <c r="H164" s="60">
        <v>114.14528</v>
      </c>
    </row>
    <row r="165" spans="1:8" ht="16" x14ac:dyDescent="0.2">
      <c r="A165" s="46">
        <v>500939</v>
      </c>
      <c r="B165" s="42" t="s">
        <v>394</v>
      </c>
      <c r="C165" s="42" t="s">
        <v>395</v>
      </c>
      <c r="D165" s="45">
        <v>66.544449999999998</v>
      </c>
      <c r="E165" s="45">
        <v>84.997</v>
      </c>
      <c r="F165" s="45">
        <v>95.920439999999999</v>
      </c>
      <c r="G165" s="45">
        <v>107.16861</v>
      </c>
      <c r="H165" s="60">
        <v>112.47175</v>
      </c>
    </row>
    <row r="166" spans="1:8" ht="16" x14ac:dyDescent="0.2">
      <c r="A166" s="44">
        <v>500152</v>
      </c>
      <c r="B166" s="42" t="s">
        <v>396</v>
      </c>
      <c r="C166" s="42" t="s">
        <v>397</v>
      </c>
      <c r="D166" s="45">
        <v>81.202519999999993</v>
      </c>
      <c r="E166" s="45">
        <v>86.478880000000004</v>
      </c>
      <c r="F166" s="45">
        <v>95.861249999999998</v>
      </c>
      <c r="G166" s="45">
        <v>102.80963</v>
      </c>
      <c r="H166" s="60">
        <v>111.71820999999998</v>
      </c>
    </row>
    <row r="167" spans="1:8" ht="16" x14ac:dyDescent="0.2">
      <c r="A167" s="46">
        <v>500953</v>
      </c>
      <c r="B167" s="42" t="s">
        <v>398</v>
      </c>
      <c r="C167" s="42" t="s">
        <v>399</v>
      </c>
      <c r="D167" s="45">
        <v>52.243160000000003</v>
      </c>
      <c r="E167" s="45">
        <v>61.055300000000003</v>
      </c>
      <c r="F167" s="45">
        <v>75.892929999999993</v>
      </c>
      <c r="G167" s="45">
        <v>88.032869999999988</v>
      </c>
      <c r="H167" s="60">
        <v>103.29476</v>
      </c>
    </row>
    <row r="168" spans="1:8" ht="16" x14ac:dyDescent="0.2">
      <c r="A168" s="46">
        <v>501193</v>
      </c>
      <c r="B168" s="42" t="s">
        <v>400</v>
      </c>
      <c r="C168" s="42" t="s">
        <v>401</v>
      </c>
      <c r="D168" s="45">
        <v>0</v>
      </c>
      <c r="E168" s="45">
        <v>0</v>
      </c>
      <c r="F168" s="45">
        <v>0</v>
      </c>
      <c r="G168" s="45">
        <v>31.724800000000002</v>
      </c>
      <c r="H168" s="60">
        <v>99.538399999999996</v>
      </c>
    </row>
    <row r="169" spans="1:8" ht="16" x14ac:dyDescent="0.2">
      <c r="A169" s="46">
        <v>501099</v>
      </c>
      <c r="B169" s="42" t="s">
        <v>402</v>
      </c>
      <c r="C169" s="42" t="e">
        <f>_xlfn.XLOOKUP(B169,'[1]MDB-Auszug 09.01.2026'!D:D,'[1]MDB-Auszug 09.01.2026'!A:A)</f>
        <v>#N/A</v>
      </c>
      <c r="D169" s="45">
        <v>29.268609999999999</v>
      </c>
      <c r="E169" s="45">
        <v>68.270099999999999</v>
      </c>
      <c r="F169" s="45">
        <v>80.065370000000001</v>
      </c>
      <c r="G169" s="45">
        <v>84.526060000000001</v>
      </c>
      <c r="H169" s="60">
        <v>98.350610000000003</v>
      </c>
    </row>
    <row r="170" spans="1:8" ht="16" x14ac:dyDescent="0.2">
      <c r="A170" s="44">
        <v>500610</v>
      </c>
      <c r="B170" s="42" t="s">
        <v>403</v>
      </c>
      <c r="C170" s="42" t="s">
        <v>404</v>
      </c>
      <c r="D170" s="45">
        <v>192.35499999999999</v>
      </c>
      <c r="E170" s="45">
        <v>190.42166999999998</v>
      </c>
      <c r="F170" s="45">
        <v>206.38</v>
      </c>
      <c r="G170" s="45">
        <v>223.84</v>
      </c>
      <c r="H170" s="60">
        <v>96.5</v>
      </c>
    </row>
    <row r="171" spans="1:8" ht="16" x14ac:dyDescent="0.2">
      <c r="A171" s="44">
        <v>500634</v>
      </c>
      <c r="B171" s="42" t="s">
        <v>405</v>
      </c>
      <c r="C171" s="42" t="s">
        <v>406</v>
      </c>
      <c r="D171" s="45">
        <v>837.30541000000005</v>
      </c>
      <c r="E171" s="45">
        <v>945.30901000000028</v>
      </c>
      <c r="F171" s="45">
        <v>1107.6989799999999</v>
      </c>
      <c r="G171" s="45">
        <v>531.08751000000007</v>
      </c>
      <c r="H171" s="60">
        <v>95.686899999999994</v>
      </c>
    </row>
    <row r="172" spans="1:8" ht="16" x14ac:dyDescent="0.2">
      <c r="A172" s="44">
        <v>500020</v>
      </c>
      <c r="B172" s="42" t="s">
        <v>407</v>
      </c>
      <c r="C172" s="42" t="s">
        <v>408</v>
      </c>
      <c r="D172" s="45">
        <v>129.16703000000001</v>
      </c>
      <c r="E172" s="45">
        <v>122.42873000000002</v>
      </c>
      <c r="F172" s="45">
        <v>103.36998</v>
      </c>
      <c r="G172" s="45">
        <v>99.214700000000008</v>
      </c>
      <c r="H172" s="60">
        <v>93.518500000000003</v>
      </c>
    </row>
    <row r="173" spans="1:8" ht="16" x14ac:dyDescent="0.2">
      <c r="A173" s="44">
        <v>500029</v>
      </c>
      <c r="B173" s="42" t="s">
        <v>409</v>
      </c>
      <c r="C173" s="42" t="s">
        <v>410</v>
      </c>
      <c r="D173" s="45">
        <v>41.969350000000006</v>
      </c>
      <c r="E173" s="45">
        <v>66.816010000000006</v>
      </c>
      <c r="F173" s="45">
        <v>89.270250000000004</v>
      </c>
      <c r="G173" s="45">
        <v>91.85284</v>
      </c>
      <c r="H173" s="60">
        <v>93.202910000000003</v>
      </c>
    </row>
    <row r="174" spans="1:8" ht="16" x14ac:dyDescent="0.2">
      <c r="A174" s="46">
        <v>501008</v>
      </c>
      <c r="B174" s="42" t="s">
        <v>411</v>
      </c>
      <c r="C174" s="42" t="s">
        <v>412</v>
      </c>
      <c r="D174" s="45">
        <v>54.816680000000005</v>
      </c>
      <c r="E174" s="45">
        <v>46.405289999999994</v>
      </c>
      <c r="F174" s="45">
        <v>54.813679999999998</v>
      </c>
      <c r="G174" s="45">
        <v>89.384049999999988</v>
      </c>
      <c r="H174" s="60">
        <v>92.718779999999995</v>
      </c>
    </row>
    <row r="175" spans="1:8" ht="16" x14ac:dyDescent="0.2">
      <c r="A175" s="46">
        <v>591919</v>
      </c>
      <c r="B175" s="42" t="s">
        <v>413</v>
      </c>
      <c r="C175" s="42" t="s">
        <v>414</v>
      </c>
      <c r="D175" s="45">
        <v>177.08921000000001</v>
      </c>
      <c r="E175" s="45">
        <v>192.74593000000004</v>
      </c>
      <c r="F175" s="45">
        <v>149.78216999999998</v>
      </c>
      <c r="G175" s="45">
        <v>112.46364</v>
      </c>
      <c r="H175" s="60">
        <v>91.63355</v>
      </c>
    </row>
    <row r="176" spans="1:8" ht="16" x14ac:dyDescent="0.2">
      <c r="A176" s="44">
        <v>500034</v>
      </c>
      <c r="B176" s="42" t="s">
        <v>415</v>
      </c>
      <c r="C176" s="42" t="s">
        <v>416</v>
      </c>
      <c r="D176" s="45">
        <v>84.351230000000015</v>
      </c>
      <c r="E176" s="45">
        <v>84.876080000000002</v>
      </c>
      <c r="F176" s="45">
        <v>87.574070000000006</v>
      </c>
      <c r="G176" s="45">
        <v>87.94986999999999</v>
      </c>
      <c r="H176" s="60">
        <v>90.880669999999995</v>
      </c>
    </row>
    <row r="177" spans="1:8" ht="16" x14ac:dyDescent="0.2">
      <c r="A177" s="46">
        <v>500858</v>
      </c>
      <c r="B177" s="42" t="s">
        <v>417</v>
      </c>
      <c r="C177" s="42" t="s">
        <v>418</v>
      </c>
      <c r="D177" s="45">
        <v>41.138100000000001</v>
      </c>
      <c r="E177" s="45">
        <v>49.754509999999996</v>
      </c>
      <c r="F177" s="45">
        <v>62.96555</v>
      </c>
      <c r="G177" s="45">
        <v>69.625649999999993</v>
      </c>
      <c r="H177" s="60">
        <v>89.949470000000005</v>
      </c>
    </row>
    <row r="178" spans="1:8" ht="16" x14ac:dyDescent="0.2">
      <c r="A178" s="44">
        <v>500074</v>
      </c>
      <c r="B178" s="42" t="s">
        <v>419</v>
      </c>
      <c r="C178" s="42" t="s">
        <v>420</v>
      </c>
      <c r="D178" s="45">
        <v>55.785609999999998</v>
      </c>
      <c r="E178" s="45">
        <v>62.644179999999999</v>
      </c>
      <c r="F178" s="45">
        <v>71.532229999999998</v>
      </c>
      <c r="G178" s="45">
        <v>86.967399999999998</v>
      </c>
      <c r="H178" s="60">
        <v>89.75985</v>
      </c>
    </row>
    <row r="179" spans="1:8" ht="16" x14ac:dyDescent="0.2">
      <c r="A179" s="44">
        <v>500877</v>
      </c>
      <c r="B179" s="42" t="s">
        <v>421</v>
      </c>
      <c r="C179" s="42" t="s">
        <v>422</v>
      </c>
      <c r="D179" s="45">
        <v>60.138680000000001</v>
      </c>
      <c r="E179" s="45">
        <v>74.913299999999992</v>
      </c>
      <c r="F179" s="45">
        <v>79.527869999999993</v>
      </c>
      <c r="G179" s="45">
        <v>84.260109999999997</v>
      </c>
      <c r="H179" s="60">
        <v>88.005970000000005</v>
      </c>
    </row>
    <row r="180" spans="1:8" ht="16" x14ac:dyDescent="0.2">
      <c r="A180" s="46">
        <v>501083</v>
      </c>
      <c r="B180" s="42" t="s">
        <v>423</v>
      </c>
      <c r="C180" s="42" t="e">
        <f>_xlfn.XLOOKUP(B180,'[1]MDB-Auszug 09.01.2026'!D:D,'[1]MDB-Auszug 09.01.2026'!A:A)</f>
        <v>#N/A</v>
      </c>
      <c r="D180" s="45">
        <v>14.226510000000001</v>
      </c>
      <c r="E180" s="45">
        <v>60.316990000000004</v>
      </c>
      <c r="F180" s="45">
        <v>50.592880000000008</v>
      </c>
      <c r="G180" s="45">
        <v>72.166480000000007</v>
      </c>
      <c r="H180" s="60">
        <v>87.208019999999991</v>
      </c>
    </row>
    <row r="181" spans="1:8" ht="16" x14ac:dyDescent="0.2">
      <c r="A181" s="44">
        <v>500843</v>
      </c>
      <c r="B181" s="42" t="s">
        <v>424</v>
      </c>
      <c r="C181" s="42" t="s">
        <v>425</v>
      </c>
      <c r="D181" s="45">
        <v>58.211929999999995</v>
      </c>
      <c r="E181" s="45">
        <v>62.443520000000014</v>
      </c>
      <c r="F181" s="45">
        <v>64.96605000000001</v>
      </c>
      <c r="G181" s="45">
        <v>82.076440000000005</v>
      </c>
      <c r="H181" s="60">
        <v>86.590690000000009</v>
      </c>
    </row>
    <row r="182" spans="1:8" ht="16" x14ac:dyDescent="0.2">
      <c r="A182" s="46">
        <v>500940</v>
      </c>
      <c r="B182" s="42" t="s">
        <v>426</v>
      </c>
      <c r="C182" s="42" t="s">
        <v>427</v>
      </c>
      <c r="D182" s="45">
        <v>41.865279999999998</v>
      </c>
      <c r="E182" s="45">
        <v>52.477880000000006</v>
      </c>
      <c r="F182" s="45">
        <v>63.006720000000001</v>
      </c>
      <c r="G182" s="45">
        <v>70.887869999999992</v>
      </c>
      <c r="H182" s="60">
        <v>84.86215</v>
      </c>
    </row>
    <row r="183" spans="1:8" ht="16" x14ac:dyDescent="0.2">
      <c r="A183" s="46">
        <v>501063</v>
      </c>
      <c r="B183" s="42" t="s">
        <v>428</v>
      </c>
      <c r="C183" s="42" t="s">
        <v>429</v>
      </c>
      <c r="D183" s="45">
        <v>34.997140000000002</v>
      </c>
      <c r="E183" s="45">
        <v>45.014800000000001</v>
      </c>
      <c r="F183" s="45">
        <v>56.163910000000001</v>
      </c>
      <c r="G183" s="45">
        <v>70.120720000000006</v>
      </c>
      <c r="H183" s="60">
        <v>83.486329999999995</v>
      </c>
    </row>
    <row r="184" spans="1:8" ht="16" x14ac:dyDescent="0.2">
      <c r="A184" s="46">
        <v>501018</v>
      </c>
      <c r="B184" s="42" t="s">
        <v>430</v>
      </c>
      <c r="C184" s="42" t="s">
        <v>431</v>
      </c>
      <c r="D184" s="45">
        <v>25.857749999999999</v>
      </c>
      <c r="E184" s="45">
        <v>35.51885</v>
      </c>
      <c r="F184" s="45">
        <v>45.265459999999997</v>
      </c>
      <c r="G184" s="45">
        <v>58.704210000000003</v>
      </c>
      <c r="H184" s="60">
        <v>81.489899999999992</v>
      </c>
    </row>
    <row r="185" spans="1:8" ht="16" x14ac:dyDescent="0.2">
      <c r="A185" s="44">
        <v>500186</v>
      </c>
      <c r="B185" s="42" t="s">
        <v>432</v>
      </c>
      <c r="C185" s="42" t="s">
        <v>433</v>
      </c>
      <c r="D185" s="45">
        <v>106.1135</v>
      </c>
      <c r="E185" s="45">
        <v>106.1109</v>
      </c>
      <c r="F185" s="45">
        <v>102.45720000000001</v>
      </c>
      <c r="G185" s="45">
        <v>92.397750000000002</v>
      </c>
      <c r="H185" s="60">
        <v>80.992699999999999</v>
      </c>
    </row>
    <row r="186" spans="1:8" ht="16" x14ac:dyDescent="0.2">
      <c r="A186" s="46">
        <v>500996</v>
      </c>
      <c r="B186" s="42" t="s">
        <v>434</v>
      </c>
      <c r="C186" s="42" t="s">
        <v>435</v>
      </c>
      <c r="D186" s="45">
        <v>49.493009999999998</v>
      </c>
      <c r="E186" s="45">
        <v>59.236969999999999</v>
      </c>
      <c r="F186" s="45">
        <v>69.028739999999985</v>
      </c>
      <c r="G186" s="45">
        <v>76.204959999999986</v>
      </c>
      <c r="H186" s="60">
        <v>80.320260000000005</v>
      </c>
    </row>
    <row r="187" spans="1:8" ht="16" x14ac:dyDescent="0.2">
      <c r="A187" s="46">
        <v>501076</v>
      </c>
      <c r="B187" s="42" t="s">
        <v>436</v>
      </c>
      <c r="C187" s="42" t="s">
        <v>437</v>
      </c>
      <c r="D187" s="45">
        <v>0</v>
      </c>
      <c r="E187" s="45">
        <v>0</v>
      </c>
      <c r="F187" s="45">
        <v>0</v>
      </c>
      <c r="G187" s="45">
        <v>21.54806</v>
      </c>
      <c r="H187" s="60">
        <v>80.077910000000003</v>
      </c>
    </row>
    <row r="188" spans="1:8" ht="16" x14ac:dyDescent="0.2">
      <c r="A188" s="46">
        <v>501134</v>
      </c>
      <c r="B188" s="42" t="s">
        <v>438</v>
      </c>
      <c r="C188" s="42" t="s">
        <v>439</v>
      </c>
      <c r="D188" s="45">
        <v>0</v>
      </c>
      <c r="E188" s="45">
        <v>3.1671</v>
      </c>
      <c r="F188" s="45">
        <v>35.292199999999994</v>
      </c>
      <c r="G188" s="45">
        <v>58.844649999999994</v>
      </c>
      <c r="H188" s="60">
        <v>79.743649999999988</v>
      </c>
    </row>
    <row r="189" spans="1:8" ht="16" x14ac:dyDescent="0.2">
      <c r="A189" s="46">
        <v>500960</v>
      </c>
      <c r="B189" s="42" t="s">
        <v>440</v>
      </c>
      <c r="C189" s="42" t="s">
        <v>441</v>
      </c>
      <c r="D189" s="45">
        <v>61.177510000000005</v>
      </c>
      <c r="E189" s="45">
        <v>70.620980000000003</v>
      </c>
      <c r="F189" s="45">
        <v>71.729860000000002</v>
      </c>
      <c r="G189" s="45">
        <v>74.719179999999994</v>
      </c>
      <c r="H189" s="60">
        <v>78.248350000000002</v>
      </c>
    </row>
    <row r="190" spans="1:8" ht="16" x14ac:dyDescent="0.2">
      <c r="A190" s="46">
        <v>501236</v>
      </c>
      <c r="B190" s="42" t="s">
        <v>442</v>
      </c>
      <c r="C190" s="42" t="s">
        <v>443</v>
      </c>
      <c r="D190" s="45">
        <v>0</v>
      </c>
      <c r="E190" s="45">
        <v>0</v>
      </c>
      <c r="F190" s="45">
        <v>0</v>
      </c>
      <c r="G190" s="45">
        <v>0</v>
      </c>
      <c r="H190" s="60">
        <v>76.586460000000002</v>
      </c>
    </row>
    <row r="191" spans="1:8" ht="16" x14ac:dyDescent="0.2">
      <c r="A191" s="44">
        <v>510000</v>
      </c>
      <c r="B191" s="42" t="s">
        <v>444</v>
      </c>
      <c r="C191" s="42" t="s">
        <v>445</v>
      </c>
      <c r="D191" s="45">
        <v>81.157719999999998</v>
      </c>
      <c r="E191" s="45">
        <v>77.446679999999986</v>
      </c>
      <c r="F191" s="45">
        <v>73.552459999999996</v>
      </c>
      <c r="G191" s="45">
        <v>73.700890000000001</v>
      </c>
      <c r="H191" s="60">
        <v>76.191760000000016</v>
      </c>
    </row>
    <row r="192" spans="1:8" ht="16" x14ac:dyDescent="0.2">
      <c r="A192" s="44">
        <v>500651</v>
      </c>
      <c r="B192" s="42" t="s">
        <v>446</v>
      </c>
      <c r="C192" s="42" t="s">
        <v>447</v>
      </c>
      <c r="D192" s="45">
        <v>58.987699999999997</v>
      </c>
      <c r="E192" s="45">
        <v>61.323190000000004</v>
      </c>
      <c r="F192" s="45">
        <v>61.593649999999997</v>
      </c>
      <c r="G192" s="45">
        <v>67.923079999999999</v>
      </c>
      <c r="H192" s="60">
        <v>74.489620000000002</v>
      </c>
    </row>
    <row r="193" spans="1:8" ht="16" x14ac:dyDescent="0.2">
      <c r="A193" s="44">
        <v>500672</v>
      </c>
      <c r="B193" s="42" t="s">
        <v>448</v>
      </c>
      <c r="C193" s="42" t="s">
        <v>449</v>
      </c>
      <c r="D193" s="45">
        <v>48.655259999999991</v>
      </c>
      <c r="E193" s="45">
        <v>59.130250000000004</v>
      </c>
      <c r="F193" s="45">
        <v>69.943609999999993</v>
      </c>
      <c r="G193" s="45">
        <v>72.312490000000011</v>
      </c>
      <c r="H193" s="60">
        <v>72.624440000000007</v>
      </c>
    </row>
    <row r="194" spans="1:8" ht="16" x14ac:dyDescent="0.2">
      <c r="A194" s="34">
        <v>500699</v>
      </c>
      <c r="B194" s="35" t="s">
        <v>450</v>
      </c>
      <c r="C194" s="35" t="s">
        <v>451</v>
      </c>
      <c r="D194" s="37">
        <v>27.872799999999998</v>
      </c>
      <c r="E194" s="37">
        <v>33.628300000000003</v>
      </c>
      <c r="F194" s="37">
        <v>41.126800000000003</v>
      </c>
      <c r="G194" s="37">
        <v>54.668999999999997</v>
      </c>
      <c r="H194" s="57">
        <v>72.513600000000011</v>
      </c>
    </row>
    <row r="195" spans="1:8" ht="16" x14ac:dyDescent="0.2">
      <c r="A195" s="46">
        <v>501197</v>
      </c>
      <c r="B195" s="42" t="s">
        <v>452</v>
      </c>
      <c r="C195" s="42" t="s">
        <v>453</v>
      </c>
      <c r="D195" s="45">
        <v>0</v>
      </c>
      <c r="E195" s="45">
        <v>0</v>
      </c>
      <c r="F195" s="45">
        <v>0</v>
      </c>
      <c r="G195" s="45">
        <v>16.033249999999999</v>
      </c>
      <c r="H195" s="60">
        <v>69.781660000000002</v>
      </c>
    </row>
    <row r="196" spans="1:8" ht="16" x14ac:dyDescent="0.2">
      <c r="A196" s="44">
        <v>500081</v>
      </c>
      <c r="B196" s="42" t="s">
        <v>454</v>
      </c>
      <c r="C196" s="42" t="s">
        <v>455</v>
      </c>
      <c r="D196" s="45">
        <v>41.825199999999995</v>
      </c>
      <c r="E196" s="45">
        <v>45.446109999999997</v>
      </c>
      <c r="F196" s="45">
        <v>49.311369999999997</v>
      </c>
      <c r="G196" s="45">
        <v>62.886029999999998</v>
      </c>
      <c r="H196" s="60">
        <v>69.516540000000006</v>
      </c>
    </row>
    <row r="197" spans="1:8" ht="16" x14ac:dyDescent="0.2">
      <c r="A197" s="46">
        <v>501041</v>
      </c>
      <c r="B197" s="42" t="s">
        <v>456</v>
      </c>
      <c r="C197" s="42" t="s">
        <v>457</v>
      </c>
      <c r="D197" s="45">
        <v>22.743380000000002</v>
      </c>
      <c r="E197" s="45">
        <v>35.26473</v>
      </c>
      <c r="F197" s="45">
        <v>45.650710000000004</v>
      </c>
      <c r="G197" s="45">
        <v>57.807699999999997</v>
      </c>
      <c r="H197" s="60">
        <v>69.199250000000006</v>
      </c>
    </row>
    <row r="198" spans="1:8" ht="16" x14ac:dyDescent="0.2">
      <c r="A198" s="44">
        <v>500111</v>
      </c>
      <c r="B198" s="42" t="s">
        <v>458</v>
      </c>
      <c r="C198" s="42" t="s">
        <v>459</v>
      </c>
      <c r="D198" s="45">
        <v>46.171330000000005</v>
      </c>
      <c r="E198" s="45">
        <v>53.932180000000002</v>
      </c>
      <c r="F198" s="45">
        <v>56.855319999999999</v>
      </c>
      <c r="G198" s="45">
        <v>58.716889999999999</v>
      </c>
      <c r="H198" s="60">
        <v>66.49588</v>
      </c>
    </row>
    <row r="199" spans="1:8" ht="16" x14ac:dyDescent="0.2">
      <c r="A199" s="46">
        <v>501245</v>
      </c>
      <c r="B199" s="42" t="s">
        <v>460</v>
      </c>
      <c r="C199" s="42" t="s">
        <v>461</v>
      </c>
      <c r="D199" s="45">
        <v>0</v>
      </c>
      <c r="E199" s="45">
        <v>0</v>
      </c>
      <c r="F199" s="45">
        <v>0</v>
      </c>
      <c r="G199" s="45">
        <v>0</v>
      </c>
      <c r="H199" s="60">
        <v>65.823970000000003</v>
      </c>
    </row>
    <row r="200" spans="1:8" ht="16" x14ac:dyDescent="0.2">
      <c r="A200" s="46">
        <v>501114</v>
      </c>
      <c r="B200" s="42" t="s">
        <v>462</v>
      </c>
      <c r="C200" s="42" t="e">
        <f>_xlfn.XLOOKUP(B200,'[1]MDB-Auszug 09.01.2026'!D:D,'[1]MDB-Auszug 09.01.2026'!A:A)</f>
        <v>#N/A</v>
      </c>
      <c r="D200" s="45">
        <v>0</v>
      </c>
      <c r="E200" s="45">
        <v>19.2774</v>
      </c>
      <c r="F200" s="45">
        <v>26.4419</v>
      </c>
      <c r="G200" s="45">
        <v>53.107850000000006</v>
      </c>
      <c r="H200" s="60">
        <v>63.75</v>
      </c>
    </row>
    <row r="201" spans="1:8" ht="16" x14ac:dyDescent="0.2">
      <c r="A201" s="46">
        <v>501082</v>
      </c>
      <c r="B201" s="42" t="s">
        <v>463</v>
      </c>
      <c r="C201" s="42" t="e">
        <f>_xlfn.XLOOKUP(B201,'[1]MDB-Auszug 09.01.2026'!D:D,'[1]MDB-Auszug 09.01.2026'!A:A)</f>
        <v>#N/A</v>
      </c>
      <c r="D201" s="45">
        <v>10.907249999999999</v>
      </c>
      <c r="E201" s="45">
        <v>24.819130000000001</v>
      </c>
      <c r="F201" s="45">
        <v>35.10239</v>
      </c>
      <c r="G201" s="45">
        <v>45.185990000000004</v>
      </c>
      <c r="H201" s="60">
        <v>63.548169999999999</v>
      </c>
    </row>
    <row r="202" spans="1:8" ht="16" x14ac:dyDescent="0.2">
      <c r="A202" s="44">
        <v>500726</v>
      </c>
      <c r="B202" s="42" t="s">
        <v>464</v>
      </c>
      <c r="C202" s="42" t="s">
        <v>465</v>
      </c>
      <c r="D202" s="45">
        <v>58.914619999999992</v>
      </c>
      <c r="E202" s="45">
        <v>51.297789999999999</v>
      </c>
      <c r="F202" s="45">
        <v>56.334679999999999</v>
      </c>
      <c r="G202" s="45">
        <v>67.664469999999994</v>
      </c>
      <c r="H202" s="60">
        <v>63.533470000000001</v>
      </c>
    </row>
    <row r="203" spans="1:8" ht="16" x14ac:dyDescent="0.2">
      <c r="A203" s="46">
        <v>501246</v>
      </c>
      <c r="B203" s="42" t="s">
        <v>466</v>
      </c>
      <c r="C203" s="42" t="s">
        <v>467</v>
      </c>
      <c r="D203" s="45">
        <v>0</v>
      </c>
      <c r="E203" s="45">
        <v>0</v>
      </c>
      <c r="F203" s="45">
        <v>0</v>
      </c>
      <c r="G203" s="45">
        <v>0</v>
      </c>
      <c r="H203" s="60">
        <v>61.645499999999998</v>
      </c>
    </row>
    <row r="204" spans="1:8" ht="16" x14ac:dyDescent="0.2">
      <c r="A204" s="46">
        <v>501131</v>
      </c>
      <c r="B204" s="42" t="s">
        <v>468</v>
      </c>
      <c r="C204" s="42" t="s">
        <v>469</v>
      </c>
      <c r="D204" s="45">
        <v>0</v>
      </c>
      <c r="E204" s="45">
        <v>0</v>
      </c>
      <c r="F204" s="45">
        <v>27.168749999999999</v>
      </c>
      <c r="G204" s="45">
        <v>46.421119999999995</v>
      </c>
      <c r="H204" s="60">
        <v>59.954410000000003</v>
      </c>
    </row>
    <row r="205" spans="1:8" ht="16" x14ac:dyDescent="0.2">
      <c r="A205" s="44">
        <v>500082</v>
      </c>
      <c r="B205" s="42" t="s">
        <v>470</v>
      </c>
      <c r="C205" s="42" t="s">
        <v>471</v>
      </c>
      <c r="D205" s="45">
        <v>33.413029999999999</v>
      </c>
      <c r="E205" s="45">
        <v>25.954810000000002</v>
      </c>
      <c r="F205" s="45">
        <v>25.777900000000002</v>
      </c>
      <c r="G205" s="45">
        <v>49.300399999999996</v>
      </c>
      <c r="H205" s="60">
        <v>58.836910000000003</v>
      </c>
    </row>
    <row r="206" spans="1:8" ht="16" x14ac:dyDescent="0.2">
      <c r="A206" s="46">
        <v>501181</v>
      </c>
      <c r="B206" s="42" t="s">
        <v>472</v>
      </c>
      <c r="C206" s="42" t="s">
        <v>473</v>
      </c>
      <c r="D206" s="45">
        <v>0</v>
      </c>
      <c r="E206" s="45">
        <v>0</v>
      </c>
      <c r="F206" s="45">
        <v>0</v>
      </c>
      <c r="G206" s="45">
        <v>28.476900000000001</v>
      </c>
      <c r="H206" s="60">
        <v>57.919200000000004</v>
      </c>
    </row>
    <row r="207" spans="1:8" ht="16" x14ac:dyDescent="0.2">
      <c r="A207" s="44">
        <v>500725</v>
      </c>
      <c r="B207" s="42" t="s">
        <v>474</v>
      </c>
      <c r="C207" s="42" t="s">
        <v>475</v>
      </c>
      <c r="D207" s="45">
        <v>72.372550000000004</v>
      </c>
      <c r="E207" s="45">
        <v>61.769239999999996</v>
      </c>
      <c r="F207" s="45">
        <v>62.505980000000001</v>
      </c>
      <c r="G207" s="45">
        <v>56.339059999999996</v>
      </c>
      <c r="H207" s="60">
        <v>56.966059999999999</v>
      </c>
    </row>
    <row r="208" spans="1:8" ht="16" x14ac:dyDescent="0.2">
      <c r="A208" s="46">
        <v>500314</v>
      </c>
      <c r="B208" s="42" t="s">
        <v>476</v>
      </c>
      <c r="C208" s="42" t="s">
        <v>477</v>
      </c>
      <c r="D208" s="45">
        <v>8.2260000000000009</v>
      </c>
      <c r="E208" s="45">
        <v>20.308</v>
      </c>
      <c r="F208" s="45">
        <v>33.255000000000003</v>
      </c>
      <c r="G208" s="45">
        <v>47.466180000000001</v>
      </c>
      <c r="H208" s="60">
        <v>56.86786</v>
      </c>
    </row>
    <row r="209" spans="1:8" ht="16" x14ac:dyDescent="0.2">
      <c r="A209" s="44">
        <v>500171</v>
      </c>
      <c r="B209" s="42" t="s">
        <v>478</v>
      </c>
      <c r="C209" s="42" t="s">
        <v>479</v>
      </c>
      <c r="D209" s="45">
        <v>30</v>
      </c>
      <c r="E209" s="45">
        <v>30</v>
      </c>
      <c r="F209" s="45">
        <v>30</v>
      </c>
      <c r="G209" s="45">
        <v>30</v>
      </c>
      <c r="H209" s="60">
        <v>54</v>
      </c>
    </row>
    <row r="210" spans="1:8" ht="16" x14ac:dyDescent="0.2">
      <c r="A210" s="46">
        <v>501220</v>
      </c>
      <c r="B210" s="42" t="s">
        <v>480</v>
      </c>
      <c r="C210" s="42" t="s">
        <v>481</v>
      </c>
      <c r="D210" s="45">
        <v>0</v>
      </c>
      <c r="E210" s="45">
        <v>0</v>
      </c>
      <c r="F210" s="45">
        <v>0</v>
      </c>
      <c r="G210" s="45">
        <v>0</v>
      </c>
      <c r="H210" s="60">
        <v>51.533999999999999</v>
      </c>
    </row>
    <row r="211" spans="1:8" ht="16" x14ac:dyDescent="0.2">
      <c r="A211" s="44">
        <v>500135</v>
      </c>
      <c r="B211" s="42" t="s">
        <v>482</v>
      </c>
      <c r="C211" s="42" t="s">
        <v>483</v>
      </c>
      <c r="D211" s="45">
        <v>38.186999999999998</v>
      </c>
      <c r="E211" s="45">
        <v>42.612320000000004</v>
      </c>
      <c r="F211" s="45">
        <v>44.706919999999997</v>
      </c>
      <c r="G211" s="45">
        <v>50.482080000000003</v>
      </c>
      <c r="H211" s="60">
        <v>51.276630000000004</v>
      </c>
    </row>
    <row r="212" spans="1:8" ht="16" x14ac:dyDescent="0.2">
      <c r="A212" s="46">
        <v>500228</v>
      </c>
      <c r="B212" s="42" t="s">
        <v>484</v>
      </c>
      <c r="C212" s="42" t="s">
        <v>485</v>
      </c>
      <c r="D212" s="45">
        <v>12.52943</v>
      </c>
      <c r="E212" s="45">
        <v>24.18852</v>
      </c>
      <c r="F212" s="45">
        <v>34.210920000000002</v>
      </c>
      <c r="G212" s="45">
        <v>39.469319999999996</v>
      </c>
      <c r="H212" s="60">
        <v>49.767940000000003</v>
      </c>
    </row>
    <row r="213" spans="1:8" ht="16" x14ac:dyDescent="0.2">
      <c r="A213" s="44">
        <v>500752</v>
      </c>
      <c r="B213" s="42" t="s">
        <v>486</v>
      </c>
      <c r="C213" s="42" t="s">
        <v>487</v>
      </c>
      <c r="D213" s="45">
        <v>38.48075</v>
      </c>
      <c r="E213" s="45">
        <v>41.248380000000004</v>
      </c>
      <c r="F213" s="45">
        <v>46.875660000000003</v>
      </c>
      <c r="G213" s="45">
        <v>48.212110000000003</v>
      </c>
      <c r="H213" s="60">
        <v>48.837569999999999</v>
      </c>
    </row>
    <row r="214" spans="1:8" ht="32" x14ac:dyDescent="0.2">
      <c r="A214" s="44">
        <v>500077</v>
      </c>
      <c r="B214" s="42" t="s">
        <v>488</v>
      </c>
      <c r="C214" s="42" t="s">
        <v>489</v>
      </c>
      <c r="D214" s="45">
        <v>31.977220000000003</v>
      </c>
      <c r="E214" s="45">
        <v>29.575749999999999</v>
      </c>
      <c r="F214" s="45">
        <v>36.034550000000003</v>
      </c>
      <c r="G214" s="45">
        <v>50.508149999999993</v>
      </c>
      <c r="H214" s="60">
        <v>48.610330000000005</v>
      </c>
    </row>
    <row r="215" spans="1:8" ht="16" x14ac:dyDescent="0.2">
      <c r="A215" s="46">
        <v>500792</v>
      </c>
      <c r="B215" s="42" t="s">
        <v>490</v>
      </c>
      <c r="C215" s="42" t="e">
        <f>_xlfn.XLOOKUP(B215,'[1]MDB-Auszug 09.01.2026'!D:D,'[1]MDB-Auszug 09.01.2026'!A:A)</f>
        <v>#N/A</v>
      </c>
      <c r="D215" s="45">
        <v>0</v>
      </c>
      <c r="E215" s="45">
        <v>5.1889500000000002</v>
      </c>
      <c r="F215" s="45">
        <v>22.258500000000002</v>
      </c>
      <c r="G215" s="45">
        <v>31.108799999999999</v>
      </c>
      <c r="H215" s="60">
        <v>47.277520000000003</v>
      </c>
    </row>
    <row r="216" spans="1:8" ht="16" x14ac:dyDescent="0.2">
      <c r="A216" s="46" t="e">
        <f>_xlfn.XLOOKUP(B216,'[1]MDB-Auszug 09.01.2026'!D:D,'[1]MDB-Auszug 09.01.2026'!E:E)</f>
        <v>#N/A</v>
      </c>
      <c r="B216" s="42" t="s">
        <v>491</v>
      </c>
      <c r="C216" s="42" t="e">
        <f>_xlfn.XLOOKUP(B216,'[1]MDB-Auszug 09.01.2026'!D:D,'[1]MDB-Auszug 09.01.2026'!A:A)</f>
        <v>#N/A</v>
      </c>
      <c r="D216" s="45">
        <v>0</v>
      </c>
      <c r="E216" s="45">
        <v>0</v>
      </c>
      <c r="F216" s="45">
        <v>0</v>
      </c>
      <c r="G216" s="45">
        <v>5.6440100000000006</v>
      </c>
      <c r="H216" s="60">
        <v>46.917160000000003</v>
      </c>
    </row>
    <row r="217" spans="1:8" ht="16" x14ac:dyDescent="0.2">
      <c r="A217" s="46">
        <v>501040</v>
      </c>
      <c r="B217" s="42" t="s">
        <v>492</v>
      </c>
      <c r="C217" s="42" t="s">
        <v>493</v>
      </c>
      <c r="D217" s="45">
        <v>16.255590000000002</v>
      </c>
      <c r="E217" s="45">
        <v>21.222080000000002</v>
      </c>
      <c r="F217" s="45">
        <v>32.838680000000004</v>
      </c>
      <c r="G217" s="45">
        <v>39.639130000000002</v>
      </c>
      <c r="H217" s="60">
        <v>46.757760000000005</v>
      </c>
    </row>
    <row r="218" spans="1:8" ht="16" x14ac:dyDescent="0.2">
      <c r="A218" s="46">
        <v>501144</v>
      </c>
      <c r="B218" s="42" t="s">
        <v>494</v>
      </c>
      <c r="C218" s="42" t="s">
        <v>495</v>
      </c>
      <c r="D218" s="45">
        <v>0</v>
      </c>
      <c r="E218" s="45">
        <v>0</v>
      </c>
      <c r="F218" s="45">
        <v>0</v>
      </c>
      <c r="G218" s="45">
        <v>0</v>
      </c>
      <c r="H218" s="60">
        <v>46.231180000000002</v>
      </c>
    </row>
    <row r="219" spans="1:8" ht="16" x14ac:dyDescent="0.2">
      <c r="A219" s="44">
        <v>500092</v>
      </c>
      <c r="B219" s="42" t="s">
        <v>496</v>
      </c>
      <c r="C219" s="42" t="s">
        <v>497</v>
      </c>
      <c r="D219" s="45">
        <v>725.95533000000012</v>
      </c>
      <c r="E219" s="45">
        <v>724.82107000000008</v>
      </c>
      <c r="F219" s="45">
        <v>759.89115000000004</v>
      </c>
      <c r="G219" s="45">
        <v>226.13240999999999</v>
      </c>
      <c r="H219" s="60">
        <v>42.321059999999996</v>
      </c>
    </row>
    <row r="220" spans="1:8" ht="16" x14ac:dyDescent="0.2">
      <c r="A220" s="46">
        <v>501244</v>
      </c>
      <c r="B220" s="42" t="s">
        <v>498</v>
      </c>
      <c r="C220" s="42" t="s">
        <v>499</v>
      </c>
      <c r="D220" s="45">
        <v>0</v>
      </c>
      <c r="E220" s="45">
        <v>0</v>
      </c>
      <c r="F220" s="45">
        <v>0</v>
      </c>
      <c r="G220" s="45">
        <v>0</v>
      </c>
      <c r="H220" s="60">
        <v>42.159320000000001</v>
      </c>
    </row>
    <row r="221" spans="1:8" ht="16" x14ac:dyDescent="0.2">
      <c r="A221" s="44">
        <v>500734</v>
      </c>
      <c r="B221" s="42" t="s">
        <v>500</v>
      </c>
      <c r="C221" s="42" t="s">
        <v>501</v>
      </c>
      <c r="D221" s="45">
        <v>17.253</v>
      </c>
      <c r="E221" s="45">
        <v>21.928789999999999</v>
      </c>
      <c r="F221" s="45">
        <v>26.641569999999998</v>
      </c>
      <c r="G221" s="45">
        <v>30.169400000000003</v>
      </c>
      <c r="H221" s="60">
        <v>41.045319999999997</v>
      </c>
    </row>
    <row r="222" spans="1:8" ht="16" x14ac:dyDescent="0.2">
      <c r="A222" s="46">
        <v>501164</v>
      </c>
      <c r="B222" s="42" t="s">
        <v>502</v>
      </c>
      <c r="C222" s="42" t="s">
        <v>503</v>
      </c>
      <c r="D222" s="45">
        <v>0</v>
      </c>
      <c r="E222" s="45">
        <v>0</v>
      </c>
      <c r="F222" s="45">
        <v>0</v>
      </c>
      <c r="G222" s="45">
        <v>22.542400000000001</v>
      </c>
      <c r="H222" s="60">
        <v>40.637599999999999</v>
      </c>
    </row>
    <row r="223" spans="1:8" ht="16" x14ac:dyDescent="0.2">
      <c r="A223" s="44">
        <v>500832</v>
      </c>
      <c r="B223" s="42" t="s">
        <v>504</v>
      </c>
      <c r="C223" s="42" t="s">
        <v>505</v>
      </c>
      <c r="D223" s="45">
        <v>24.163799999999998</v>
      </c>
      <c r="E223" s="45">
        <v>25.33501</v>
      </c>
      <c r="F223" s="45">
        <v>25.773150000000001</v>
      </c>
      <c r="G223" s="45">
        <v>26.4</v>
      </c>
      <c r="H223" s="60">
        <v>40.137500000000003</v>
      </c>
    </row>
    <row r="224" spans="1:8" ht="16" x14ac:dyDescent="0.2">
      <c r="A224" s="44">
        <v>500853</v>
      </c>
      <c r="B224" s="42" t="s">
        <v>506</v>
      </c>
      <c r="C224" s="42" t="s">
        <v>507</v>
      </c>
      <c r="D224" s="45">
        <v>32.915199999999999</v>
      </c>
      <c r="E224" s="45">
        <v>36.145800000000001</v>
      </c>
      <c r="F224" s="45">
        <v>35.880549999999999</v>
      </c>
      <c r="G224" s="45">
        <v>36.516149999999996</v>
      </c>
      <c r="H224" s="60">
        <v>39.258600000000008</v>
      </c>
    </row>
    <row r="225" spans="1:8" ht="16" x14ac:dyDescent="0.2">
      <c r="A225" s="44">
        <v>500698</v>
      </c>
      <c r="B225" s="42" t="s">
        <v>508</v>
      </c>
      <c r="C225" s="42" t="s">
        <v>509</v>
      </c>
      <c r="D225" s="45">
        <v>46.067309999999999</v>
      </c>
      <c r="E225" s="45">
        <v>56.186249999999987</v>
      </c>
      <c r="F225" s="45">
        <v>52.836300000000001</v>
      </c>
      <c r="G225" s="45">
        <v>41.906699999999994</v>
      </c>
      <c r="H225" s="60">
        <v>37.577100000000002</v>
      </c>
    </row>
    <row r="226" spans="1:8" ht="16" x14ac:dyDescent="0.2">
      <c r="A226" s="44">
        <v>500304</v>
      </c>
      <c r="B226" s="42" t="s">
        <v>510</v>
      </c>
      <c r="C226" s="42" t="s">
        <v>511</v>
      </c>
      <c r="D226" s="45">
        <v>36.698999999999998</v>
      </c>
      <c r="E226" s="45">
        <v>36.62889999999998</v>
      </c>
      <c r="F226" s="45">
        <v>37.670350000000006</v>
      </c>
      <c r="G226" s="45">
        <v>37.951329999999999</v>
      </c>
      <c r="H226" s="60">
        <v>37.184440000000002</v>
      </c>
    </row>
    <row r="227" spans="1:8" ht="16" x14ac:dyDescent="0.2">
      <c r="A227" s="44">
        <v>500746</v>
      </c>
      <c r="B227" s="42" t="s">
        <v>512</v>
      </c>
      <c r="C227" s="42" t="s">
        <v>513</v>
      </c>
      <c r="D227" s="45">
        <v>28.656500000000001</v>
      </c>
      <c r="E227" s="45">
        <v>30.631599999999999</v>
      </c>
      <c r="F227" s="45">
        <v>37.255499999999998</v>
      </c>
      <c r="G227" s="45">
        <v>37.571249999999999</v>
      </c>
      <c r="H227" s="60">
        <v>36.911550000000005</v>
      </c>
    </row>
    <row r="228" spans="1:8" ht="16" x14ac:dyDescent="0.2">
      <c r="A228" s="44">
        <v>500006</v>
      </c>
      <c r="B228" s="42" t="s">
        <v>514</v>
      </c>
      <c r="C228" s="42" t="s">
        <v>515</v>
      </c>
      <c r="D228" s="45">
        <v>31.230879999999999</v>
      </c>
      <c r="E228" s="45">
        <v>33.129300000000001</v>
      </c>
      <c r="F228" s="45">
        <v>35.686169999999997</v>
      </c>
      <c r="G228" s="45">
        <v>38.229880000000001</v>
      </c>
      <c r="H228" s="60">
        <v>35.868040000000001</v>
      </c>
    </row>
    <row r="229" spans="1:8" ht="16" x14ac:dyDescent="0.2">
      <c r="A229" s="46">
        <v>500970</v>
      </c>
      <c r="B229" s="42" t="s">
        <v>516</v>
      </c>
      <c r="C229" s="42" t="s">
        <v>517</v>
      </c>
      <c r="D229" s="45">
        <v>28.475199999999997</v>
      </c>
      <c r="E229" s="45">
        <v>31.501799999999999</v>
      </c>
      <c r="F229" s="45">
        <v>34.104500000000002</v>
      </c>
      <c r="G229" s="45">
        <v>33.694050000000004</v>
      </c>
      <c r="H229" s="60">
        <v>35.797199999999997</v>
      </c>
    </row>
    <row r="230" spans="1:8" ht="16" x14ac:dyDescent="0.2">
      <c r="A230" s="46">
        <v>500857</v>
      </c>
      <c r="B230" s="42" t="s">
        <v>518</v>
      </c>
      <c r="C230" s="42" t="s">
        <v>519</v>
      </c>
      <c r="D230" s="45">
        <v>17.985319999999998</v>
      </c>
      <c r="E230" s="45">
        <v>26.174019999999995</v>
      </c>
      <c r="F230" s="45">
        <v>26.635660000000005</v>
      </c>
      <c r="G230" s="45">
        <v>35.948160000000001</v>
      </c>
      <c r="H230" s="60">
        <v>34.899610000000003</v>
      </c>
    </row>
    <row r="231" spans="1:8" ht="16" x14ac:dyDescent="0.2">
      <c r="A231" s="46">
        <v>500974</v>
      </c>
      <c r="B231" s="42" t="s">
        <v>520</v>
      </c>
      <c r="C231" s="42" t="s">
        <v>521</v>
      </c>
      <c r="D231" s="45">
        <v>29.184870000000004</v>
      </c>
      <c r="E231" s="45">
        <v>27.748589999999997</v>
      </c>
      <c r="F231" s="45">
        <v>31.173869999999997</v>
      </c>
      <c r="G231" s="45">
        <v>32.340049999999998</v>
      </c>
      <c r="H231" s="60">
        <v>34.094699999999996</v>
      </c>
    </row>
    <row r="232" spans="1:8" ht="16" x14ac:dyDescent="0.2">
      <c r="A232" s="46">
        <v>500965</v>
      </c>
      <c r="B232" s="42" t="s">
        <v>522</v>
      </c>
      <c r="C232" s="42" t="s">
        <v>523</v>
      </c>
      <c r="D232" s="45">
        <v>28.339500000000001</v>
      </c>
      <c r="E232" s="45">
        <v>30.075500000000002</v>
      </c>
      <c r="F232" s="45">
        <v>31.9785</v>
      </c>
      <c r="G232" s="45">
        <v>34.103100000000005</v>
      </c>
      <c r="H232" s="60">
        <v>33.886749999999999</v>
      </c>
    </row>
    <row r="233" spans="1:8" ht="16" x14ac:dyDescent="0.2">
      <c r="A233" s="46">
        <v>501174</v>
      </c>
      <c r="B233" s="42" t="s">
        <v>524</v>
      </c>
      <c r="C233" s="42" t="s">
        <v>525</v>
      </c>
      <c r="D233" s="45">
        <v>0</v>
      </c>
      <c r="E233" s="45">
        <v>0</v>
      </c>
      <c r="F233" s="45">
        <v>0</v>
      </c>
      <c r="G233" s="45">
        <v>7.7469999999999999</v>
      </c>
      <c r="H233" s="60">
        <v>33.19135</v>
      </c>
    </row>
    <row r="234" spans="1:8" ht="16" x14ac:dyDescent="0.2">
      <c r="A234" s="44">
        <v>500307</v>
      </c>
      <c r="B234" s="42" t="s">
        <v>526</v>
      </c>
      <c r="C234" s="42" t="s">
        <v>527</v>
      </c>
      <c r="D234" s="45">
        <v>32.122999999999998</v>
      </c>
      <c r="E234" s="45">
        <v>31.873799999999981</v>
      </c>
      <c r="F234" s="45">
        <v>30.986249999999998</v>
      </c>
      <c r="G234" s="45">
        <v>32.155200000000001</v>
      </c>
      <c r="H234" s="60">
        <v>32.31785</v>
      </c>
    </row>
    <row r="235" spans="1:8" ht="16" x14ac:dyDescent="0.2">
      <c r="A235" s="44">
        <v>500302</v>
      </c>
      <c r="B235" s="42" t="s">
        <v>528</v>
      </c>
      <c r="C235" s="42" t="s">
        <v>529</v>
      </c>
      <c r="D235" s="45">
        <v>29.405999999999999</v>
      </c>
      <c r="E235" s="45">
        <v>28.877899999999986</v>
      </c>
      <c r="F235" s="45">
        <v>29.836950000000002</v>
      </c>
      <c r="G235" s="45">
        <v>31.156599999999997</v>
      </c>
      <c r="H235" s="60">
        <v>32.065019999999997</v>
      </c>
    </row>
    <row r="236" spans="1:8" ht="16" x14ac:dyDescent="0.2">
      <c r="A236" s="44">
        <v>500005</v>
      </c>
      <c r="B236" s="42" t="s">
        <v>530</v>
      </c>
      <c r="C236" s="42" t="s">
        <v>531</v>
      </c>
      <c r="D236" s="45">
        <v>17.604209999999998</v>
      </c>
      <c r="E236" s="45">
        <v>17.924409999999998</v>
      </c>
      <c r="F236" s="45">
        <v>23.110659999999999</v>
      </c>
      <c r="G236" s="45">
        <v>28.567550000000001</v>
      </c>
      <c r="H236" s="60">
        <v>31.033530000000003</v>
      </c>
    </row>
    <row r="237" spans="1:8" ht="16" x14ac:dyDescent="0.2">
      <c r="A237" s="46">
        <v>500967</v>
      </c>
      <c r="B237" s="42" t="s">
        <v>532</v>
      </c>
      <c r="C237" s="42" t="s">
        <v>533</v>
      </c>
      <c r="D237" s="45">
        <v>22.2</v>
      </c>
      <c r="E237" s="45">
        <v>25.000250000000001</v>
      </c>
      <c r="F237" s="45">
        <v>29.91695</v>
      </c>
      <c r="G237" s="45">
        <v>30.378599999999999</v>
      </c>
      <c r="H237" s="60">
        <v>30.017199999999995</v>
      </c>
    </row>
    <row r="238" spans="1:8" ht="16" x14ac:dyDescent="0.2">
      <c r="A238" s="44">
        <v>500071</v>
      </c>
      <c r="B238" s="42" t="s">
        <v>534</v>
      </c>
      <c r="C238" s="42" t="s">
        <v>535</v>
      </c>
      <c r="D238" s="45">
        <v>91.903019999999998</v>
      </c>
      <c r="E238" s="45">
        <v>92.093929999999986</v>
      </c>
      <c r="F238" s="45">
        <v>89.73960000000001</v>
      </c>
      <c r="G238" s="45">
        <v>89.01773</v>
      </c>
      <c r="H238" s="60">
        <v>29.246769999999998</v>
      </c>
    </row>
    <row r="239" spans="1:8" ht="16" x14ac:dyDescent="0.2">
      <c r="A239" s="44">
        <v>500084</v>
      </c>
      <c r="B239" s="42" t="s">
        <v>536</v>
      </c>
      <c r="C239" s="42" t="s">
        <v>537</v>
      </c>
      <c r="D239" s="45">
        <v>12.22176</v>
      </c>
      <c r="E239" s="45">
        <v>13.699159999999999</v>
      </c>
      <c r="F239" s="45">
        <v>17.635690000000004</v>
      </c>
      <c r="G239" s="45">
        <v>26.935699999999997</v>
      </c>
      <c r="H239" s="60">
        <v>27.575559999999999</v>
      </c>
    </row>
    <row r="240" spans="1:8" ht="16" x14ac:dyDescent="0.2">
      <c r="A240" s="46">
        <v>502006</v>
      </c>
      <c r="B240" s="42" t="s">
        <v>538</v>
      </c>
      <c r="C240" s="42" t="s">
        <v>539</v>
      </c>
      <c r="D240" s="45">
        <v>0</v>
      </c>
      <c r="E240" s="45">
        <v>0</v>
      </c>
      <c r="F240" s="45">
        <v>0</v>
      </c>
      <c r="G240" s="45">
        <v>4.74</v>
      </c>
      <c r="H240" s="60">
        <v>26.040379999999999</v>
      </c>
    </row>
    <row r="241" spans="1:8" ht="16" x14ac:dyDescent="0.2">
      <c r="A241" s="44">
        <v>500606</v>
      </c>
      <c r="B241" s="42" t="s">
        <v>540</v>
      </c>
      <c r="C241" s="42" t="s">
        <v>541</v>
      </c>
      <c r="D241" s="45">
        <v>46.28933</v>
      </c>
      <c r="E241" s="45">
        <v>36.099820000000051</v>
      </c>
      <c r="F241" s="45">
        <v>32.204239999999999</v>
      </c>
      <c r="G241" s="45">
        <v>28.220590000000001</v>
      </c>
      <c r="H241" s="60">
        <v>25.92118</v>
      </c>
    </row>
    <row r="242" spans="1:8" ht="16" x14ac:dyDescent="0.2">
      <c r="A242" s="44">
        <v>500306</v>
      </c>
      <c r="B242" s="42" t="s">
        <v>542</v>
      </c>
      <c r="C242" s="42" t="s">
        <v>543</v>
      </c>
      <c r="D242" s="45">
        <v>27.9314</v>
      </c>
      <c r="E242" s="45">
        <v>25.975200000000012</v>
      </c>
      <c r="F242" s="45">
        <v>25.0505</v>
      </c>
      <c r="G242" s="45">
        <v>25.859449999999995</v>
      </c>
      <c r="H242" s="60">
        <v>25.843049999999998</v>
      </c>
    </row>
    <row r="243" spans="1:8" ht="16" x14ac:dyDescent="0.2">
      <c r="A243" s="44">
        <v>500009</v>
      </c>
      <c r="B243" s="42" t="s">
        <v>544</v>
      </c>
      <c r="C243" s="42" t="s">
        <v>545</v>
      </c>
      <c r="D243" s="45">
        <v>17.933349999999997</v>
      </c>
      <c r="E243" s="45">
        <v>19.123370000000001</v>
      </c>
      <c r="F243" s="45">
        <v>21.17521</v>
      </c>
      <c r="G243" s="45">
        <v>23.229309999999998</v>
      </c>
      <c r="H243" s="60">
        <v>25.314400000000003</v>
      </c>
    </row>
    <row r="244" spans="1:8" ht="16" x14ac:dyDescent="0.2">
      <c r="A244" s="44">
        <v>500305</v>
      </c>
      <c r="B244" s="42" t="s">
        <v>546</v>
      </c>
      <c r="C244" s="42" t="s">
        <v>547</v>
      </c>
      <c r="D244" s="45">
        <v>23.31775</v>
      </c>
      <c r="E244" s="45">
        <v>23.122449999999997</v>
      </c>
      <c r="F244" s="45">
        <v>22.518450000000001</v>
      </c>
      <c r="G244" s="45">
        <v>23.864050000000002</v>
      </c>
      <c r="H244" s="60">
        <v>25.263309999999997</v>
      </c>
    </row>
    <row r="245" spans="1:8" ht="16" x14ac:dyDescent="0.2">
      <c r="A245" s="46">
        <v>500969</v>
      </c>
      <c r="B245" s="42" t="s">
        <v>548</v>
      </c>
      <c r="C245" s="42" t="s">
        <v>549</v>
      </c>
      <c r="D245" s="45">
        <v>16.241250000000001</v>
      </c>
      <c r="E245" s="45">
        <v>17.91675</v>
      </c>
      <c r="F245" s="45">
        <v>19.699950000000001</v>
      </c>
      <c r="G245" s="45">
        <v>21.3171</v>
      </c>
      <c r="H245" s="60">
        <v>23.545349999999999</v>
      </c>
    </row>
    <row r="246" spans="1:8" ht="16" x14ac:dyDescent="0.2">
      <c r="A246" s="44">
        <v>500658</v>
      </c>
      <c r="B246" s="42" t="s">
        <v>550</v>
      </c>
      <c r="C246" s="42" t="s">
        <v>551</v>
      </c>
      <c r="D246" s="45">
        <v>20.355</v>
      </c>
      <c r="E246" s="45">
        <v>22.192700000000002</v>
      </c>
      <c r="F246" s="45">
        <v>22.05585</v>
      </c>
      <c r="G246" s="45">
        <v>22.307749999999999</v>
      </c>
      <c r="H246" s="60">
        <v>23.041650000000001</v>
      </c>
    </row>
    <row r="247" spans="1:8" ht="16" x14ac:dyDescent="0.2">
      <c r="A247" s="46">
        <v>500943</v>
      </c>
      <c r="B247" s="42" t="s">
        <v>552</v>
      </c>
      <c r="C247" s="42" t="s">
        <v>553</v>
      </c>
      <c r="D247" s="45">
        <v>17.645940000000003</v>
      </c>
      <c r="E247" s="45">
        <v>20.726939999999999</v>
      </c>
      <c r="F247" s="45">
        <v>20.255040000000001</v>
      </c>
      <c r="G247" s="45">
        <v>22.029540000000001</v>
      </c>
      <c r="H247" s="60">
        <v>22.910040000000002</v>
      </c>
    </row>
    <row r="248" spans="1:8" ht="16" x14ac:dyDescent="0.2">
      <c r="A248" s="46">
        <v>500968</v>
      </c>
      <c r="B248" s="42" t="s">
        <v>554</v>
      </c>
      <c r="C248" s="42" t="s">
        <v>555</v>
      </c>
      <c r="D248" s="45">
        <v>17.835000000000001</v>
      </c>
      <c r="E248" s="45">
        <v>22.125</v>
      </c>
      <c r="F248" s="45">
        <v>22.986900000000002</v>
      </c>
      <c r="G248" s="45">
        <v>22.459499999999998</v>
      </c>
      <c r="H248" s="60">
        <v>22.741900000000001</v>
      </c>
    </row>
    <row r="249" spans="1:8" ht="16" x14ac:dyDescent="0.2">
      <c r="A249" s="46">
        <v>501133</v>
      </c>
      <c r="B249" s="42" t="s">
        <v>556</v>
      </c>
      <c r="C249" s="42" t="s">
        <v>557</v>
      </c>
      <c r="D249" s="45">
        <v>0</v>
      </c>
      <c r="E249" s="45">
        <v>0.84599999999999997</v>
      </c>
      <c r="F249" s="45">
        <v>12.5502</v>
      </c>
      <c r="G249" s="45">
        <v>16.308150000000001</v>
      </c>
      <c r="H249" s="60">
        <v>22.21125</v>
      </c>
    </row>
    <row r="250" spans="1:8" ht="16" x14ac:dyDescent="0.2">
      <c r="A250" s="44">
        <v>500722</v>
      </c>
      <c r="B250" s="42" t="s">
        <v>558</v>
      </c>
      <c r="C250" s="42" t="s">
        <v>559</v>
      </c>
      <c r="D250" s="45">
        <v>30.889800000000005</v>
      </c>
      <c r="E250" s="45">
        <v>13.188409999999999</v>
      </c>
      <c r="F250" s="45">
        <v>13.708599999999999</v>
      </c>
      <c r="G250" s="45">
        <v>19.685759999999998</v>
      </c>
      <c r="H250" s="60">
        <v>22.002599999999997</v>
      </c>
    </row>
    <row r="251" spans="1:8" ht="16" x14ac:dyDescent="0.2">
      <c r="A251" s="44">
        <v>500043</v>
      </c>
      <c r="B251" s="42" t="s">
        <v>560</v>
      </c>
      <c r="C251" s="42" t="s">
        <v>561</v>
      </c>
      <c r="D251" s="45">
        <v>13.758479999999999</v>
      </c>
      <c r="E251" s="45">
        <v>15.301410000000002</v>
      </c>
      <c r="F251" s="45">
        <v>17.00177</v>
      </c>
      <c r="G251" s="45">
        <v>19.083959999999998</v>
      </c>
      <c r="H251" s="60">
        <v>21.601680000000002</v>
      </c>
    </row>
    <row r="252" spans="1:8" ht="16" x14ac:dyDescent="0.2">
      <c r="A252" s="46">
        <v>501067</v>
      </c>
      <c r="B252" s="42" t="s">
        <v>562</v>
      </c>
      <c r="C252" s="42" t="s">
        <v>563</v>
      </c>
      <c r="D252" s="45">
        <v>10.205400000000001</v>
      </c>
      <c r="E252" s="45">
        <v>12.660599999999999</v>
      </c>
      <c r="F252" s="45">
        <v>14.5464</v>
      </c>
      <c r="G252" s="45">
        <v>17.420210000000001</v>
      </c>
      <c r="H252" s="60">
        <v>20.391959999999997</v>
      </c>
    </row>
    <row r="253" spans="1:8" ht="16" x14ac:dyDescent="0.2">
      <c r="A253" s="44">
        <v>500803</v>
      </c>
      <c r="B253" s="42" t="s">
        <v>564</v>
      </c>
      <c r="C253" s="42" t="s">
        <v>565</v>
      </c>
      <c r="D253" s="45">
        <v>30.5184</v>
      </c>
      <c r="E253" s="45">
        <v>30.274300000000004</v>
      </c>
      <c r="F253" s="45">
        <v>30.762800000000002</v>
      </c>
      <c r="G253" s="45">
        <v>24.8978</v>
      </c>
      <c r="H253" s="60">
        <v>20.280999999999999</v>
      </c>
    </row>
    <row r="254" spans="1:8" ht="16" x14ac:dyDescent="0.2">
      <c r="A254" s="44">
        <v>500017</v>
      </c>
      <c r="B254" s="42" t="s">
        <v>566</v>
      </c>
      <c r="C254" s="42" t="s">
        <v>567</v>
      </c>
      <c r="D254" s="45">
        <v>16.27262</v>
      </c>
      <c r="E254" s="45">
        <v>15.585210000000004</v>
      </c>
      <c r="F254" s="45">
        <v>15.69619</v>
      </c>
      <c r="G254" s="45">
        <v>17.559870000000004</v>
      </c>
      <c r="H254" s="60">
        <v>20.06897</v>
      </c>
    </row>
    <row r="255" spans="1:8" ht="16" x14ac:dyDescent="0.2">
      <c r="A255" s="44">
        <v>500301</v>
      </c>
      <c r="B255" s="42" t="s">
        <v>568</v>
      </c>
      <c r="C255" s="42" t="s">
        <v>569</v>
      </c>
      <c r="D255" s="45">
        <v>22.480499999999999</v>
      </c>
      <c r="E255" s="45">
        <v>21.365450000000003</v>
      </c>
      <c r="F255" s="45">
        <v>20.650299999999998</v>
      </c>
      <c r="G255" s="45">
        <v>19.712559999999996</v>
      </c>
      <c r="H255" s="60">
        <v>20.030950000000001</v>
      </c>
    </row>
    <row r="256" spans="1:8" ht="16" x14ac:dyDescent="0.2">
      <c r="A256" s="44">
        <v>500060</v>
      </c>
      <c r="B256" s="42" t="s">
        <v>570</v>
      </c>
      <c r="C256" s="42" t="s">
        <v>571</v>
      </c>
      <c r="D256" s="45">
        <v>20.31296</v>
      </c>
      <c r="E256" s="45">
        <v>19.521599999999999</v>
      </c>
      <c r="F256" s="45">
        <v>19.509</v>
      </c>
      <c r="G256" s="45">
        <v>20.076900000000002</v>
      </c>
      <c r="H256" s="60">
        <v>19.664549999999998</v>
      </c>
    </row>
    <row r="257" spans="1:8" ht="16" x14ac:dyDescent="0.2">
      <c r="A257" s="44">
        <v>500046</v>
      </c>
      <c r="B257" s="42" t="s">
        <v>572</v>
      </c>
      <c r="C257" s="42" t="s">
        <v>573</v>
      </c>
      <c r="D257" s="45">
        <v>20.17822</v>
      </c>
      <c r="E257" s="45">
        <v>19.761110000000002</v>
      </c>
      <c r="F257" s="45">
        <v>18.42952</v>
      </c>
      <c r="G257" s="45">
        <v>18.103150000000003</v>
      </c>
      <c r="H257" s="60">
        <v>19.447800000000001</v>
      </c>
    </row>
    <row r="258" spans="1:8" ht="16" x14ac:dyDescent="0.2">
      <c r="A258" s="46">
        <v>500905</v>
      </c>
      <c r="B258" s="42" t="s">
        <v>574</v>
      </c>
      <c r="C258" s="42" t="s">
        <v>575</v>
      </c>
      <c r="D258" s="45">
        <v>10.002450000000001</v>
      </c>
      <c r="E258" s="45">
        <v>9.3580000000000005</v>
      </c>
      <c r="F258" s="45">
        <v>9.8875499999999992</v>
      </c>
      <c r="G258" s="45">
        <v>16.50075</v>
      </c>
      <c r="H258" s="60">
        <v>19.373760000000001</v>
      </c>
    </row>
    <row r="259" spans="1:8" ht="16" x14ac:dyDescent="0.2">
      <c r="A259" s="46">
        <v>500966</v>
      </c>
      <c r="B259" s="42" t="s">
        <v>576</v>
      </c>
      <c r="C259" s="42" t="s">
        <v>577</v>
      </c>
      <c r="D259" s="45">
        <v>17.043299999999999</v>
      </c>
      <c r="E259" s="45">
        <v>18.874700000000001</v>
      </c>
      <c r="F259" s="45">
        <v>20.540650000000003</v>
      </c>
      <c r="G259" s="45">
        <v>18.438700000000001</v>
      </c>
      <c r="H259" s="60">
        <v>18.672550000000005</v>
      </c>
    </row>
    <row r="260" spans="1:8" ht="16" x14ac:dyDescent="0.2">
      <c r="A260" s="46">
        <v>500975</v>
      </c>
      <c r="B260" s="42" t="s">
        <v>578</v>
      </c>
      <c r="C260" s="42" t="s">
        <v>579</v>
      </c>
      <c r="D260" s="45">
        <v>12.77707</v>
      </c>
      <c r="E260" s="45">
        <v>12.416889999999999</v>
      </c>
      <c r="F260" s="45">
        <v>17.018239999999999</v>
      </c>
      <c r="G260" s="45">
        <v>17.637260000000001</v>
      </c>
      <c r="H260" s="60">
        <v>18.433800000000002</v>
      </c>
    </row>
    <row r="261" spans="1:8" ht="16" x14ac:dyDescent="0.2">
      <c r="A261" s="46">
        <v>500917</v>
      </c>
      <c r="B261" s="42" t="s">
        <v>580</v>
      </c>
      <c r="C261" s="42" t="s">
        <v>581</v>
      </c>
      <c r="D261" s="45">
        <v>11.188150000000002</v>
      </c>
      <c r="E261" s="45">
        <v>13.998700000000001</v>
      </c>
      <c r="F261" s="45">
        <v>14.644150000000002</v>
      </c>
      <c r="G261" s="45">
        <v>16.5441</v>
      </c>
      <c r="H261" s="60">
        <v>16.67718</v>
      </c>
    </row>
    <row r="262" spans="1:8" ht="16" x14ac:dyDescent="0.2">
      <c r="A262" s="44">
        <v>500303</v>
      </c>
      <c r="B262" s="42" t="s">
        <v>582</v>
      </c>
      <c r="C262" s="42" t="s">
        <v>583</v>
      </c>
      <c r="D262" s="45">
        <v>14.161</v>
      </c>
      <c r="E262" s="45">
        <v>15.313400000000005</v>
      </c>
      <c r="F262" s="45">
        <v>15.269650000000002</v>
      </c>
      <c r="G262" s="45">
        <v>16.108610000000002</v>
      </c>
      <c r="H262" s="60">
        <v>16.133860000000002</v>
      </c>
    </row>
    <row r="263" spans="1:8" ht="16" x14ac:dyDescent="0.2">
      <c r="A263" s="46">
        <v>501195</v>
      </c>
      <c r="B263" s="42" t="s">
        <v>584</v>
      </c>
      <c r="C263" s="42" t="s">
        <v>585</v>
      </c>
      <c r="D263" s="45">
        <v>0</v>
      </c>
      <c r="E263" s="45">
        <v>0</v>
      </c>
      <c r="F263" s="45">
        <v>0</v>
      </c>
      <c r="G263" s="45">
        <v>0</v>
      </c>
      <c r="H263" s="60">
        <v>15.957000000000001</v>
      </c>
    </row>
    <row r="264" spans="1:8" ht="16" x14ac:dyDescent="0.2">
      <c r="A264" s="44">
        <v>500729</v>
      </c>
      <c r="B264" s="42" t="s">
        <v>586</v>
      </c>
      <c r="C264" s="42" t="s">
        <v>587</v>
      </c>
      <c r="D264" s="45">
        <v>9.2927999999999997</v>
      </c>
      <c r="E264" s="45">
        <v>9.7937999999999992</v>
      </c>
      <c r="F264" s="45">
        <v>9.7814300000000003</v>
      </c>
      <c r="G264" s="45">
        <v>8.7953299999999999</v>
      </c>
      <c r="H264" s="60">
        <v>15.668779999999998</v>
      </c>
    </row>
    <row r="265" spans="1:8" ht="16" x14ac:dyDescent="0.2">
      <c r="A265" s="46">
        <v>501090</v>
      </c>
      <c r="B265" s="42" t="s">
        <v>588</v>
      </c>
      <c r="C265" s="42" t="e">
        <f>_xlfn.XLOOKUP(B265,'[1]MDB-Auszug 09.01.2026'!D:D,'[1]MDB-Auszug 09.01.2026'!A:A)</f>
        <v>#N/A</v>
      </c>
      <c r="D265" s="45">
        <v>0</v>
      </c>
      <c r="E265" s="45">
        <v>3.9584999999999999</v>
      </c>
      <c r="F265" s="45">
        <v>9.0404999999999998</v>
      </c>
      <c r="G265" s="45">
        <v>13.225200000000001</v>
      </c>
      <c r="H265" s="60">
        <v>14.791499999999999</v>
      </c>
    </row>
    <row r="266" spans="1:8" ht="16" x14ac:dyDescent="0.2">
      <c r="A266" s="44">
        <v>500701</v>
      </c>
      <c r="B266" s="42" t="s">
        <v>589</v>
      </c>
      <c r="C266" s="42" t="s">
        <v>590</v>
      </c>
      <c r="D266" s="45">
        <v>16.1187</v>
      </c>
      <c r="E266" s="45">
        <v>15.705299999999999</v>
      </c>
      <c r="F266" s="45">
        <v>15.682799999999999</v>
      </c>
      <c r="G266" s="45">
        <v>14.8431</v>
      </c>
      <c r="H266" s="60">
        <v>14.617899999999999</v>
      </c>
    </row>
    <row r="267" spans="1:8" ht="16" x14ac:dyDescent="0.2">
      <c r="A267" s="46">
        <v>500791</v>
      </c>
      <c r="B267" s="42" t="s">
        <v>591</v>
      </c>
      <c r="C267" s="42" t="e">
        <f>_xlfn.XLOOKUP(B267,'[1]MDB-Auszug 09.01.2026'!D:D,'[1]MDB-Auszug 09.01.2026'!A:A)</f>
        <v>#N/A</v>
      </c>
      <c r="D267" s="45">
        <v>0</v>
      </c>
      <c r="E267" s="45">
        <v>2.6675999999999997</v>
      </c>
      <c r="F267" s="45">
        <v>7.5743999999999998</v>
      </c>
      <c r="G267" s="45">
        <v>15.316799999999999</v>
      </c>
      <c r="H267" s="60">
        <v>13.278700000000001</v>
      </c>
    </row>
    <row r="268" spans="1:8" ht="16" x14ac:dyDescent="0.2">
      <c r="A268" s="44">
        <v>500873</v>
      </c>
      <c r="B268" s="42" t="s">
        <v>592</v>
      </c>
      <c r="C268" s="42" t="s">
        <v>593</v>
      </c>
      <c r="D268" s="45">
        <v>7.7654699999999997</v>
      </c>
      <c r="E268" s="45">
        <v>9.9316700000000004</v>
      </c>
      <c r="F268" s="45">
        <v>10.31869</v>
      </c>
      <c r="G268" s="45">
        <v>13.2339</v>
      </c>
      <c r="H268" s="60">
        <v>13.102499999999999</v>
      </c>
    </row>
    <row r="269" spans="1:8" ht="16" x14ac:dyDescent="0.2">
      <c r="A269" s="44">
        <v>500049</v>
      </c>
      <c r="B269" s="42" t="s">
        <v>594</v>
      </c>
      <c r="C269" s="42" t="s">
        <v>595</v>
      </c>
      <c r="D269" s="45">
        <v>7.0754099999999998</v>
      </c>
      <c r="E269" s="45">
        <v>8.0766200000000001</v>
      </c>
      <c r="F269" s="45">
        <v>9.7919999999999998</v>
      </c>
      <c r="G269" s="45">
        <v>11.709689999999998</v>
      </c>
      <c r="H269" s="60">
        <v>12.8</v>
      </c>
    </row>
    <row r="270" spans="1:8" ht="16" x14ac:dyDescent="0.2">
      <c r="A270" s="46">
        <v>501066</v>
      </c>
      <c r="B270" s="42" t="s">
        <v>596</v>
      </c>
      <c r="C270" s="42" t="s">
        <v>597</v>
      </c>
      <c r="D270" s="45">
        <v>5.9872100000000001</v>
      </c>
      <c r="E270" s="45">
        <v>7.9668000000000001</v>
      </c>
      <c r="F270" s="45">
        <v>9.1324000000000005</v>
      </c>
      <c r="G270" s="45">
        <v>11.175759999999999</v>
      </c>
      <c r="H270" s="60">
        <v>12.553540000000002</v>
      </c>
    </row>
    <row r="271" spans="1:8" ht="16" x14ac:dyDescent="0.2">
      <c r="A271" s="46">
        <v>500910</v>
      </c>
      <c r="B271" s="42" t="s">
        <v>598</v>
      </c>
      <c r="C271" s="42" t="s">
        <v>599</v>
      </c>
      <c r="D271" s="45">
        <v>11.191549999999999</v>
      </c>
      <c r="E271" s="45">
        <v>9.28125</v>
      </c>
      <c r="F271" s="45">
        <v>9.141</v>
      </c>
      <c r="G271" s="45">
        <v>10.5525</v>
      </c>
      <c r="H271" s="60">
        <v>11.3758</v>
      </c>
    </row>
    <row r="272" spans="1:8" ht="16" x14ac:dyDescent="0.2">
      <c r="A272" s="44">
        <v>500754</v>
      </c>
      <c r="B272" s="42" t="s">
        <v>600</v>
      </c>
      <c r="C272" s="42" t="s">
        <v>601</v>
      </c>
      <c r="D272" s="45">
        <v>4.2515000000000001</v>
      </c>
      <c r="E272" s="45">
        <v>4.93</v>
      </c>
      <c r="F272" s="45">
        <v>7.8224999999999998</v>
      </c>
      <c r="G272" s="45">
        <v>8.3818000000000001</v>
      </c>
      <c r="H272" s="60">
        <v>11.1921</v>
      </c>
    </row>
    <row r="273" spans="1:8" ht="16" x14ac:dyDescent="0.2">
      <c r="A273" s="46">
        <v>500915</v>
      </c>
      <c r="B273" s="42" t="s">
        <v>602</v>
      </c>
      <c r="C273" s="42" t="s">
        <v>603</v>
      </c>
      <c r="D273" s="45">
        <v>7.2321</v>
      </c>
      <c r="E273" s="45">
        <v>7.6713000000000005</v>
      </c>
      <c r="F273" s="45">
        <v>7.3861000000000008</v>
      </c>
      <c r="G273" s="45">
        <v>9.1871399999999994</v>
      </c>
      <c r="H273" s="60">
        <v>10.825700000000001</v>
      </c>
    </row>
    <row r="274" spans="1:8" ht="16" x14ac:dyDescent="0.2">
      <c r="A274" s="46">
        <v>501237</v>
      </c>
      <c r="B274" s="42" t="s">
        <v>604</v>
      </c>
      <c r="C274" s="42" t="s">
        <v>605</v>
      </c>
      <c r="D274" s="45">
        <v>0</v>
      </c>
      <c r="E274" s="45">
        <v>0</v>
      </c>
      <c r="F274" s="45">
        <v>0</v>
      </c>
      <c r="G274" s="45">
        <v>0</v>
      </c>
      <c r="H274" s="60">
        <v>10.574999999999999</v>
      </c>
    </row>
    <row r="275" spans="1:8" ht="16" x14ac:dyDescent="0.2">
      <c r="A275" s="44">
        <v>500660</v>
      </c>
      <c r="B275" s="42" t="s">
        <v>606</v>
      </c>
      <c r="C275" s="42" t="s">
        <v>607</v>
      </c>
      <c r="D275" s="45">
        <v>11.071200000000001</v>
      </c>
      <c r="E275" s="45">
        <v>10.881150000000002</v>
      </c>
      <c r="F275" s="45">
        <v>10.03748</v>
      </c>
      <c r="G275" s="45">
        <v>10.058399999999999</v>
      </c>
      <c r="H275" s="60">
        <v>10.2384</v>
      </c>
    </row>
    <row r="276" spans="1:8" ht="16" x14ac:dyDescent="0.2">
      <c r="A276" s="44">
        <v>500041</v>
      </c>
      <c r="B276" s="42" t="s">
        <v>608</v>
      </c>
      <c r="C276" s="42" t="s">
        <v>609</v>
      </c>
      <c r="D276" s="45">
        <v>10.231020000000001</v>
      </c>
      <c r="E276" s="45">
        <v>11.347200000000001</v>
      </c>
      <c r="F276" s="45">
        <v>10.01784</v>
      </c>
      <c r="G276" s="45">
        <v>10.514779999999998</v>
      </c>
      <c r="H276" s="60">
        <v>9.7677600000000009</v>
      </c>
    </row>
    <row r="277" spans="1:8" ht="16" x14ac:dyDescent="0.2">
      <c r="A277" s="46">
        <v>500793</v>
      </c>
      <c r="B277" s="42" t="s">
        <v>610</v>
      </c>
      <c r="C277" s="42" t="s">
        <v>611</v>
      </c>
      <c r="D277" s="45">
        <v>0</v>
      </c>
      <c r="E277" s="45">
        <v>0</v>
      </c>
      <c r="F277" s="45">
        <v>0.70199999999999996</v>
      </c>
      <c r="G277" s="45">
        <v>3.5325000000000002</v>
      </c>
      <c r="H277" s="60">
        <v>9.686020000000001</v>
      </c>
    </row>
    <row r="278" spans="1:8" ht="16" x14ac:dyDescent="0.2">
      <c r="A278" s="44">
        <v>500425</v>
      </c>
      <c r="B278" s="42" t="s">
        <v>612</v>
      </c>
      <c r="C278" s="42" t="s">
        <v>613</v>
      </c>
      <c r="D278" s="45">
        <v>7.0419999999999998</v>
      </c>
      <c r="E278" s="45">
        <v>7.3037999999999998</v>
      </c>
      <c r="F278" s="45">
        <v>7.4561900000000003</v>
      </c>
      <c r="G278" s="45">
        <v>7.8422700000000001</v>
      </c>
      <c r="H278" s="60">
        <v>9.3614999999999995</v>
      </c>
    </row>
    <row r="279" spans="1:8" ht="16" x14ac:dyDescent="0.2">
      <c r="A279" s="46">
        <v>501068</v>
      </c>
      <c r="B279" s="42" t="s">
        <v>614</v>
      </c>
      <c r="C279" s="42" t="s">
        <v>615</v>
      </c>
      <c r="D279" s="45">
        <v>3.3421500000000002</v>
      </c>
      <c r="E279" s="45">
        <v>4.5513900000000005</v>
      </c>
      <c r="F279" s="45">
        <v>5.8665200000000004</v>
      </c>
      <c r="G279" s="45">
        <v>6.9064300000000003</v>
      </c>
      <c r="H279" s="60">
        <v>9.1155600000000003</v>
      </c>
    </row>
    <row r="280" spans="1:8" ht="16" x14ac:dyDescent="0.2">
      <c r="A280" s="44">
        <v>500690</v>
      </c>
      <c r="B280" s="42" t="s">
        <v>616</v>
      </c>
      <c r="C280" s="42" t="s">
        <v>617</v>
      </c>
      <c r="D280" s="45">
        <v>7.3295699999999995</v>
      </c>
      <c r="E280" s="45">
        <v>6.8819199999999983</v>
      </c>
      <c r="F280" s="45">
        <v>7.2671900000000003</v>
      </c>
      <c r="G280" s="45">
        <v>8.2595899999999993</v>
      </c>
      <c r="H280" s="60">
        <v>8.9324999999999992</v>
      </c>
    </row>
    <row r="281" spans="1:8" ht="16" x14ac:dyDescent="0.2">
      <c r="A281" s="46">
        <v>500790</v>
      </c>
      <c r="B281" s="42" t="s">
        <v>618</v>
      </c>
      <c r="C281" s="42" t="e">
        <f>_xlfn.XLOOKUP(B281,'[1]MDB-Auszug 09.01.2026'!D:D,'[1]MDB-Auszug 09.01.2026'!A:A)</f>
        <v>#N/A</v>
      </c>
      <c r="D281" s="45">
        <v>0</v>
      </c>
      <c r="E281" s="45">
        <v>0.53400000000000003</v>
      </c>
      <c r="F281" s="45">
        <v>5.7608999999999995</v>
      </c>
      <c r="G281" s="45">
        <v>10.2545</v>
      </c>
      <c r="H281" s="60">
        <v>8.8747000000000007</v>
      </c>
    </row>
    <row r="282" spans="1:8" ht="16" x14ac:dyDescent="0.2">
      <c r="A282" s="46">
        <v>501240</v>
      </c>
      <c r="B282" s="42" t="s">
        <v>619</v>
      </c>
      <c r="C282" s="42" t="s">
        <v>620</v>
      </c>
      <c r="D282" s="45">
        <v>0</v>
      </c>
      <c r="E282" s="45">
        <v>0</v>
      </c>
      <c r="F282" s="45">
        <v>0</v>
      </c>
      <c r="G282" s="45">
        <v>0</v>
      </c>
      <c r="H282" s="60">
        <v>8.2460000000000004</v>
      </c>
    </row>
    <row r="283" spans="1:8" ht="16" x14ac:dyDescent="0.2">
      <c r="A283" s="46">
        <v>500914</v>
      </c>
      <c r="B283" s="42" t="s">
        <v>621</v>
      </c>
      <c r="C283" s="42" t="s">
        <v>622</v>
      </c>
      <c r="D283" s="45">
        <v>3.0558000000000001</v>
      </c>
      <c r="E283" s="45">
        <v>4.2098999999999993</v>
      </c>
      <c r="F283" s="45">
        <v>5.8185500000000001</v>
      </c>
      <c r="G283" s="45">
        <v>6.6053199999999999</v>
      </c>
      <c r="H283" s="60">
        <v>8.0741499999999995</v>
      </c>
    </row>
    <row r="284" spans="1:8" ht="16" x14ac:dyDescent="0.2">
      <c r="A284" s="44">
        <v>500061</v>
      </c>
      <c r="B284" s="42" t="s">
        <v>623</v>
      </c>
      <c r="C284" s="42" t="s">
        <v>624</v>
      </c>
      <c r="D284" s="45">
        <v>9.2364999999999995</v>
      </c>
      <c r="E284" s="45">
        <v>9.1167999999999996</v>
      </c>
      <c r="F284" s="45">
        <v>8.5974000000000004</v>
      </c>
      <c r="G284" s="45">
        <v>8.6740499999999994</v>
      </c>
      <c r="H284" s="60">
        <v>8.0673500000000011</v>
      </c>
    </row>
    <row r="285" spans="1:8" ht="16" x14ac:dyDescent="0.2">
      <c r="A285" s="34">
        <v>500847</v>
      </c>
      <c r="B285" s="35" t="s">
        <v>625</v>
      </c>
      <c r="C285" s="35" t="s">
        <v>626</v>
      </c>
      <c r="D285" s="37">
        <v>56.263750000000002</v>
      </c>
      <c r="E285" s="37">
        <v>41.917499999999997</v>
      </c>
      <c r="F285" s="37">
        <v>12.592499999999999</v>
      </c>
      <c r="G285" s="37">
        <v>10.2925</v>
      </c>
      <c r="H285" s="57">
        <v>7.9924999999999997</v>
      </c>
    </row>
    <row r="286" spans="1:8" ht="16" x14ac:dyDescent="0.2">
      <c r="A286" s="44">
        <v>500067</v>
      </c>
      <c r="B286" s="42" t="s">
        <v>627</v>
      </c>
      <c r="C286" s="42" t="s">
        <v>628</v>
      </c>
      <c r="D286" s="45">
        <v>10.745380000000001</v>
      </c>
      <c r="E286" s="45">
        <v>9.9022299999999994</v>
      </c>
      <c r="F286" s="45">
        <v>6.8106599999999995</v>
      </c>
      <c r="G286" s="45">
        <v>7.4306700000000001</v>
      </c>
      <c r="H286" s="60">
        <v>7.8641699999999997</v>
      </c>
    </row>
    <row r="287" spans="1:8" ht="16" x14ac:dyDescent="0.2">
      <c r="A287" s="46">
        <v>501171</v>
      </c>
      <c r="B287" s="42" t="s">
        <v>629</v>
      </c>
      <c r="C287" s="42" t="s">
        <v>630</v>
      </c>
      <c r="D287" s="45">
        <v>0</v>
      </c>
      <c r="E287" s="45">
        <v>0</v>
      </c>
      <c r="F287" s="45">
        <v>0.80798000000000003</v>
      </c>
      <c r="G287" s="45">
        <v>5.8138499999999995</v>
      </c>
      <c r="H287" s="60">
        <v>7.7965</v>
      </c>
    </row>
    <row r="288" spans="1:8" ht="16" x14ac:dyDescent="0.2">
      <c r="A288" s="44">
        <v>500066</v>
      </c>
      <c r="B288" s="42" t="s">
        <v>631</v>
      </c>
      <c r="C288" s="42" t="s">
        <v>632</v>
      </c>
      <c r="D288" s="45">
        <v>4.9234600000000004</v>
      </c>
      <c r="E288" s="45">
        <v>3.5594999999999999</v>
      </c>
      <c r="F288" s="45">
        <v>3.7191000000000001</v>
      </c>
      <c r="G288" s="45">
        <v>3.5260600000000002</v>
      </c>
      <c r="H288" s="60">
        <v>7.6017099999999997</v>
      </c>
    </row>
    <row r="289" spans="1:8" ht="16" x14ac:dyDescent="0.2">
      <c r="A289" s="44">
        <v>500611</v>
      </c>
      <c r="B289" s="42" t="s">
        <v>633</v>
      </c>
      <c r="C289" s="42" t="s">
        <v>634</v>
      </c>
      <c r="D289" s="45">
        <v>1.5</v>
      </c>
      <c r="E289" s="45">
        <v>2.1</v>
      </c>
      <c r="F289" s="45">
        <v>3.15</v>
      </c>
      <c r="G289" s="45">
        <v>5.625</v>
      </c>
      <c r="H289" s="60">
        <v>7.4556000000000004</v>
      </c>
    </row>
    <row r="290" spans="1:8" ht="16" x14ac:dyDescent="0.2">
      <c r="A290" s="44">
        <v>500042</v>
      </c>
      <c r="B290" s="42" t="s">
        <v>635</v>
      </c>
      <c r="C290" s="42" t="s">
        <v>636</v>
      </c>
      <c r="D290" s="45">
        <v>5.4746099999999993</v>
      </c>
      <c r="E290" s="45">
        <v>5.6668700000000003</v>
      </c>
      <c r="F290" s="45">
        <v>5.5167999999999999</v>
      </c>
      <c r="G290" s="45">
        <v>6.35975</v>
      </c>
      <c r="H290" s="60">
        <v>7.4188600000000005</v>
      </c>
    </row>
    <row r="291" spans="1:8" ht="16" x14ac:dyDescent="0.2">
      <c r="A291" s="44">
        <v>500312</v>
      </c>
      <c r="B291" s="42" t="s">
        <v>637</v>
      </c>
      <c r="C291" s="42" t="s">
        <v>638</v>
      </c>
      <c r="D291" s="45">
        <v>3.1080000000000001</v>
      </c>
      <c r="E291" s="45">
        <v>4.0322000000000005</v>
      </c>
      <c r="F291" s="45">
        <v>4.4049499999999995</v>
      </c>
      <c r="G291" s="45">
        <v>6.0507299999999997</v>
      </c>
      <c r="H291" s="60">
        <v>7.4033299999999995</v>
      </c>
    </row>
    <row r="292" spans="1:8" ht="16" x14ac:dyDescent="0.2">
      <c r="A292" s="44">
        <v>500700</v>
      </c>
      <c r="B292" s="42" t="s">
        <v>639</v>
      </c>
      <c r="C292" s="42" t="s">
        <v>640</v>
      </c>
      <c r="D292" s="45">
        <v>2.4289999999999998</v>
      </c>
      <c r="E292" s="45">
        <v>5.7904999999999998</v>
      </c>
      <c r="F292" s="45">
        <v>4.2075800000000001</v>
      </c>
      <c r="G292" s="45">
        <v>8.9276500000000016</v>
      </c>
      <c r="H292" s="60">
        <v>7.4013</v>
      </c>
    </row>
    <row r="293" spans="1:8" ht="16" x14ac:dyDescent="0.2">
      <c r="A293" s="44">
        <v>500839</v>
      </c>
      <c r="B293" s="42" t="s">
        <v>641</v>
      </c>
      <c r="C293" s="42" t="s">
        <v>642</v>
      </c>
      <c r="D293" s="45">
        <v>8.3669000000000011</v>
      </c>
      <c r="E293" s="45">
        <v>7.0971000000000002</v>
      </c>
      <c r="F293" s="45">
        <v>7.1986499999999998</v>
      </c>
      <c r="G293" s="45">
        <v>7.5208500000000003</v>
      </c>
      <c r="H293" s="60">
        <v>7.2017999999999995</v>
      </c>
    </row>
    <row r="294" spans="1:8" ht="16" x14ac:dyDescent="0.2">
      <c r="A294" s="46">
        <v>501104</v>
      </c>
      <c r="B294" s="42" t="s">
        <v>643</v>
      </c>
      <c r="C294" s="42" t="s">
        <v>644</v>
      </c>
      <c r="D294" s="45">
        <v>0</v>
      </c>
      <c r="E294" s="45">
        <v>0</v>
      </c>
      <c r="F294" s="45">
        <v>3.41</v>
      </c>
      <c r="G294" s="45">
        <v>9.1300000000000008</v>
      </c>
      <c r="H294" s="60">
        <v>6.82</v>
      </c>
    </row>
    <row r="295" spans="1:8" ht="32" x14ac:dyDescent="0.2">
      <c r="A295" s="46">
        <v>500913</v>
      </c>
      <c r="B295" s="42" t="s">
        <v>645</v>
      </c>
      <c r="C295" s="42" t="s">
        <v>646</v>
      </c>
      <c r="D295" s="45">
        <v>3.7194000000000003</v>
      </c>
      <c r="E295" s="45">
        <v>4.8553999999999995</v>
      </c>
      <c r="F295" s="45">
        <v>6.074889999999999</v>
      </c>
      <c r="G295" s="45">
        <v>6.0590999999999999</v>
      </c>
      <c r="H295" s="60">
        <v>6.76675</v>
      </c>
    </row>
    <row r="296" spans="1:8" ht="16" x14ac:dyDescent="0.2">
      <c r="A296" s="46">
        <v>501064</v>
      </c>
      <c r="B296" s="42" t="s">
        <v>647</v>
      </c>
      <c r="C296" s="42" t="s">
        <v>648</v>
      </c>
      <c r="D296" s="45">
        <v>4.8464999999999998</v>
      </c>
      <c r="E296" s="45">
        <v>6.170700000000001</v>
      </c>
      <c r="F296" s="45">
        <v>6.3858000000000006</v>
      </c>
      <c r="G296" s="45">
        <v>6.57796</v>
      </c>
      <c r="H296" s="60">
        <v>6.7268099999999995</v>
      </c>
    </row>
    <row r="297" spans="1:8" ht="16" x14ac:dyDescent="0.2">
      <c r="A297" s="44">
        <v>500311</v>
      </c>
      <c r="B297" s="42" t="s">
        <v>649</v>
      </c>
      <c r="C297" s="42" t="s">
        <v>650</v>
      </c>
      <c r="D297" s="45">
        <v>3.4049999999999998</v>
      </c>
      <c r="E297" s="45">
        <v>2.9723000000000002</v>
      </c>
      <c r="F297" s="45">
        <v>3.3855999999999997</v>
      </c>
      <c r="G297" s="45">
        <v>4.2948999999999993</v>
      </c>
      <c r="H297" s="60">
        <v>6.5045000000000002</v>
      </c>
    </row>
    <row r="298" spans="1:8" ht="16" x14ac:dyDescent="0.2">
      <c r="A298" s="44">
        <v>500107</v>
      </c>
      <c r="B298" s="42" t="s">
        <v>651</v>
      </c>
      <c r="C298" s="42" t="s">
        <v>652</v>
      </c>
      <c r="D298" s="45">
        <v>4.6125600000000002</v>
      </c>
      <c r="E298" s="45">
        <v>4.9876199999999997</v>
      </c>
      <c r="F298" s="45">
        <v>5.2771999999999997</v>
      </c>
      <c r="G298" s="45">
        <v>5.6371200000000012</v>
      </c>
      <c r="H298" s="60">
        <v>6.5030700000000001</v>
      </c>
    </row>
    <row r="299" spans="1:8" ht="16" x14ac:dyDescent="0.2">
      <c r="A299" s="46">
        <v>500984</v>
      </c>
      <c r="B299" s="42" t="s">
        <v>653</v>
      </c>
      <c r="C299" s="42" t="s">
        <v>654</v>
      </c>
      <c r="D299" s="45">
        <v>4.5359999999999996</v>
      </c>
      <c r="E299" s="45">
        <v>4.9139999999999997</v>
      </c>
      <c r="F299" s="45">
        <v>5.2919999999999998</v>
      </c>
      <c r="G299" s="45">
        <v>5.7869999999999999</v>
      </c>
      <c r="H299" s="60">
        <v>6.4109999999999996</v>
      </c>
    </row>
    <row r="300" spans="1:8" ht="16" x14ac:dyDescent="0.2">
      <c r="A300" s="44">
        <v>500907</v>
      </c>
      <c r="B300" s="42" t="s">
        <v>655</v>
      </c>
      <c r="C300" s="42" t="s">
        <v>656</v>
      </c>
      <c r="D300" s="45">
        <v>8.2872000000000003</v>
      </c>
      <c r="E300" s="45">
        <v>5.4194400000000007</v>
      </c>
      <c r="F300" s="45">
        <v>8.5217999999999989</v>
      </c>
      <c r="G300" s="45">
        <v>8.6510599999999993</v>
      </c>
      <c r="H300" s="60">
        <v>6.3394200000000005</v>
      </c>
    </row>
    <row r="301" spans="1:8" ht="16" x14ac:dyDescent="0.2">
      <c r="A301" s="44">
        <v>500723</v>
      </c>
      <c r="B301" s="42" t="s">
        <v>657</v>
      </c>
      <c r="C301" s="42" t="s">
        <v>658</v>
      </c>
      <c r="D301" s="45">
        <v>14.06368</v>
      </c>
      <c r="E301" s="45">
        <v>6.1367700000000003</v>
      </c>
      <c r="F301" s="45">
        <v>5.01</v>
      </c>
      <c r="G301" s="45">
        <v>8.4719999999999995</v>
      </c>
      <c r="H301" s="60">
        <v>6.33</v>
      </c>
    </row>
    <row r="302" spans="1:8" ht="16" x14ac:dyDescent="0.2">
      <c r="A302" s="46">
        <v>500985</v>
      </c>
      <c r="B302" s="42" t="s">
        <v>659</v>
      </c>
      <c r="C302" s="42" t="s">
        <v>660</v>
      </c>
      <c r="D302" s="45">
        <v>3.948</v>
      </c>
      <c r="E302" s="45">
        <v>4.2</v>
      </c>
      <c r="F302" s="45">
        <v>4.0039999999999996</v>
      </c>
      <c r="G302" s="45">
        <v>4.5359999999999996</v>
      </c>
      <c r="H302" s="60">
        <v>6.2279999999999998</v>
      </c>
    </row>
    <row r="303" spans="1:8" ht="32" x14ac:dyDescent="0.2">
      <c r="A303" s="34">
        <v>500851</v>
      </c>
      <c r="B303" s="35" t="s">
        <v>661</v>
      </c>
      <c r="C303" s="35" t="s">
        <v>662</v>
      </c>
      <c r="D303" s="37">
        <v>4.2282399999999996</v>
      </c>
      <c r="E303" s="37">
        <v>4.3292299999999999</v>
      </c>
      <c r="F303" s="37">
        <v>4.7127400000000002</v>
      </c>
      <c r="G303" s="37">
        <v>5.7414499999999995</v>
      </c>
      <c r="H303" s="57">
        <v>6.1183099999999992</v>
      </c>
    </row>
    <row r="304" spans="1:8" ht="16" x14ac:dyDescent="0.2">
      <c r="A304" s="44">
        <v>500014</v>
      </c>
      <c r="B304" s="42" t="s">
        <v>663</v>
      </c>
      <c r="C304" s="42" t="s">
        <v>664</v>
      </c>
      <c r="D304" s="45">
        <v>4.4395800000000003</v>
      </c>
      <c r="E304" s="45">
        <v>4.7348400000000002</v>
      </c>
      <c r="F304" s="45">
        <v>5.5347</v>
      </c>
      <c r="G304" s="45">
        <v>6.1361099999999995</v>
      </c>
      <c r="H304" s="60">
        <v>6.0645899999999999</v>
      </c>
    </row>
    <row r="305" spans="1:8" ht="16" x14ac:dyDescent="0.2">
      <c r="A305" s="44">
        <v>500625</v>
      </c>
      <c r="B305" s="42" t="s">
        <v>665</v>
      </c>
      <c r="C305" s="42" t="s">
        <v>666</v>
      </c>
      <c r="D305" s="45">
        <v>21.013500000000001</v>
      </c>
      <c r="E305" s="45">
        <v>23.90935</v>
      </c>
      <c r="F305" s="45">
        <v>15.603369999999998</v>
      </c>
      <c r="G305" s="45">
        <v>7.92882</v>
      </c>
      <c r="H305" s="60">
        <v>5.8872799999999996</v>
      </c>
    </row>
    <row r="306" spans="1:8" ht="16" x14ac:dyDescent="0.2">
      <c r="A306" s="46">
        <v>500909</v>
      </c>
      <c r="B306" s="42" t="s">
        <v>667</v>
      </c>
      <c r="C306" s="42" t="s">
        <v>668</v>
      </c>
      <c r="D306" s="45">
        <v>6.2909199999999998</v>
      </c>
      <c r="E306" s="45">
        <v>5.0087200000000003</v>
      </c>
      <c r="F306" s="45">
        <v>5.6647499999999997</v>
      </c>
      <c r="G306" s="45">
        <v>5.8914</v>
      </c>
      <c r="H306" s="60">
        <v>5.6471999999999998</v>
      </c>
    </row>
    <row r="307" spans="1:8" ht="16" x14ac:dyDescent="0.2">
      <c r="A307" s="44">
        <v>500844</v>
      </c>
      <c r="B307" s="42" t="s">
        <v>669</v>
      </c>
      <c r="C307" s="42" t="s">
        <v>670</v>
      </c>
      <c r="D307" s="45">
        <v>2.4103600000000003</v>
      </c>
      <c r="E307" s="45">
        <v>2.5708800000000003</v>
      </c>
      <c r="F307" s="45">
        <v>3.3268800000000001</v>
      </c>
      <c r="G307" s="45">
        <v>5.3084400000000009</v>
      </c>
      <c r="H307" s="60">
        <v>5.5911599999999995</v>
      </c>
    </row>
    <row r="308" spans="1:8" ht="16" x14ac:dyDescent="0.2">
      <c r="A308" s="44">
        <v>500202</v>
      </c>
      <c r="B308" s="42" t="s">
        <v>671</v>
      </c>
      <c r="C308" s="42" t="s">
        <v>672</v>
      </c>
      <c r="D308" s="45">
        <v>5.7480000000000002</v>
      </c>
      <c r="E308" s="45">
        <v>5.4</v>
      </c>
      <c r="F308" s="45">
        <v>5.2320000000000002</v>
      </c>
      <c r="G308" s="45">
        <v>5.4245000000000001</v>
      </c>
      <c r="H308" s="60">
        <v>5.5047000000000006</v>
      </c>
    </row>
    <row r="309" spans="1:8" ht="16" x14ac:dyDescent="0.2">
      <c r="A309" s="44">
        <v>500116</v>
      </c>
      <c r="B309" s="42" t="s">
        <v>673</v>
      </c>
      <c r="C309" s="42" t="s">
        <v>674</v>
      </c>
      <c r="D309" s="45">
        <v>5.3675599999999992</v>
      </c>
      <c r="E309" s="45">
        <v>4.9706800000000007</v>
      </c>
      <c r="F309" s="45">
        <v>5.2879499999999995</v>
      </c>
      <c r="G309" s="45">
        <v>5.7343199999999994</v>
      </c>
      <c r="H309" s="60">
        <v>5.3954400000000007</v>
      </c>
    </row>
    <row r="310" spans="1:8" ht="16" x14ac:dyDescent="0.2">
      <c r="A310" s="44">
        <v>500065</v>
      </c>
      <c r="B310" s="42" t="s">
        <v>675</v>
      </c>
      <c r="C310" s="42" t="s">
        <v>676</v>
      </c>
      <c r="D310" s="45">
        <v>8.6480100000000011</v>
      </c>
      <c r="E310" s="45">
        <v>9.1786700000000003</v>
      </c>
      <c r="F310" s="45">
        <v>8.9668299999999999</v>
      </c>
      <c r="G310" s="45">
        <v>5.0903099999999997</v>
      </c>
      <c r="H310" s="60">
        <v>5.3597999999999999</v>
      </c>
    </row>
    <row r="311" spans="1:8" ht="16" x14ac:dyDescent="0.2">
      <c r="A311" s="46">
        <v>501005</v>
      </c>
      <c r="B311" s="42" t="s">
        <v>677</v>
      </c>
      <c r="C311" s="42" t="s">
        <v>678</v>
      </c>
      <c r="D311" s="45">
        <v>5.9793700000000003</v>
      </c>
      <c r="E311" s="45">
        <v>5.6073699999999995</v>
      </c>
      <c r="F311" s="45">
        <v>6.0356199999999998</v>
      </c>
      <c r="G311" s="45">
        <v>6.1198999999999995</v>
      </c>
      <c r="H311" s="60">
        <v>5.2901000000000007</v>
      </c>
    </row>
    <row r="312" spans="1:8" ht="16" x14ac:dyDescent="0.2">
      <c r="A312" s="46">
        <v>501119</v>
      </c>
      <c r="B312" s="42" t="s">
        <v>679</v>
      </c>
      <c r="C312" s="42" t="e">
        <f>_xlfn.XLOOKUP(B312,'[1]MDB-Auszug 09.01.2026'!D:D,'[1]MDB-Auszug 09.01.2026'!A:A)</f>
        <v>#N/A</v>
      </c>
      <c r="D312" s="45">
        <v>0</v>
      </c>
      <c r="E312" s="45">
        <v>0</v>
      </c>
      <c r="F312" s="45">
        <v>9.9</v>
      </c>
      <c r="G312" s="45">
        <v>4.95</v>
      </c>
      <c r="H312" s="60">
        <v>4.95</v>
      </c>
    </row>
    <row r="313" spans="1:8" ht="32" x14ac:dyDescent="0.2">
      <c r="A313" s="46">
        <v>500755</v>
      </c>
      <c r="B313" s="42" t="s">
        <v>680</v>
      </c>
      <c r="C313" s="42" t="s">
        <v>681</v>
      </c>
      <c r="D313" s="45">
        <v>4.45275</v>
      </c>
      <c r="E313" s="45">
        <v>4.6027500000000003</v>
      </c>
      <c r="F313" s="45">
        <v>4.6777499999999996</v>
      </c>
      <c r="G313" s="45">
        <v>5.0782499999999997</v>
      </c>
      <c r="H313" s="60">
        <v>4.8769799999999996</v>
      </c>
    </row>
    <row r="314" spans="1:8" ht="16" x14ac:dyDescent="0.2">
      <c r="A314" s="46">
        <v>501069</v>
      </c>
      <c r="B314" s="42" t="s">
        <v>682</v>
      </c>
      <c r="C314" s="42" t="s">
        <v>683</v>
      </c>
      <c r="D314" s="45">
        <v>2.5311599999999999</v>
      </c>
      <c r="E314" s="45">
        <v>2.9519799999999994</v>
      </c>
      <c r="F314" s="45">
        <v>3.0689799999999998</v>
      </c>
      <c r="G314" s="45">
        <v>4.3766800000000003</v>
      </c>
      <c r="H314" s="60">
        <v>4.6737799999999998</v>
      </c>
    </row>
    <row r="315" spans="1:8" ht="16" x14ac:dyDescent="0.2">
      <c r="A315" s="44">
        <v>500018</v>
      </c>
      <c r="B315" s="42" t="s">
        <v>684</v>
      </c>
      <c r="C315" s="42" t="s">
        <v>685</v>
      </c>
      <c r="D315" s="45">
        <v>3.64114</v>
      </c>
      <c r="E315" s="45">
        <v>3.7710400000000002</v>
      </c>
      <c r="F315" s="45">
        <v>3.6979600000000001</v>
      </c>
      <c r="G315" s="45">
        <v>3.98108</v>
      </c>
      <c r="H315" s="60">
        <v>3.8379000000000003</v>
      </c>
    </row>
    <row r="316" spans="1:8" ht="32" x14ac:dyDescent="0.2">
      <c r="A316" s="44">
        <v>500013</v>
      </c>
      <c r="B316" s="42" t="s">
        <v>686</v>
      </c>
      <c r="C316" s="42" t="s">
        <v>687</v>
      </c>
      <c r="D316" s="45">
        <v>3.3370000000000002</v>
      </c>
      <c r="E316" s="45">
        <v>3.2321300000000002</v>
      </c>
      <c r="F316" s="45">
        <v>3.3228100000000005</v>
      </c>
      <c r="G316" s="45">
        <v>3.2433100000000001</v>
      </c>
      <c r="H316" s="60">
        <v>3.6516100000000002</v>
      </c>
    </row>
    <row r="317" spans="1:8" ht="16" x14ac:dyDescent="0.2">
      <c r="A317" s="46">
        <v>502009</v>
      </c>
      <c r="B317" s="42" t="s">
        <v>688</v>
      </c>
      <c r="C317" s="42" t="s">
        <v>689</v>
      </c>
      <c r="D317" s="45">
        <v>0</v>
      </c>
      <c r="E317" s="45">
        <v>0</v>
      </c>
      <c r="F317" s="45">
        <v>0</v>
      </c>
      <c r="G317" s="45">
        <v>0</v>
      </c>
      <c r="H317" s="60">
        <v>3.5465999999999998</v>
      </c>
    </row>
    <row r="318" spans="1:8" ht="16" x14ac:dyDescent="0.2">
      <c r="A318" s="44">
        <v>500038</v>
      </c>
      <c r="B318" s="42" t="s">
        <v>690</v>
      </c>
      <c r="C318" s="42" t="s">
        <v>691</v>
      </c>
      <c r="D318" s="45">
        <v>3.9044399999999997</v>
      </c>
      <c r="E318" s="45">
        <v>3.6719699999999995</v>
      </c>
      <c r="F318" s="45">
        <v>4.03477</v>
      </c>
      <c r="G318" s="45">
        <v>4.4783999999999997</v>
      </c>
      <c r="H318" s="60">
        <v>3.5389500000000003</v>
      </c>
    </row>
    <row r="319" spans="1:8" ht="16" x14ac:dyDescent="0.2">
      <c r="A319" s="44">
        <v>500670</v>
      </c>
      <c r="B319" s="42" t="s">
        <v>692</v>
      </c>
      <c r="C319" s="42" t="s">
        <v>693</v>
      </c>
      <c r="D319" s="45">
        <v>3.4571999999999998</v>
      </c>
      <c r="E319" s="45">
        <v>3.8501999999999996</v>
      </c>
      <c r="F319" s="45">
        <v>4.0204499999999994</v>
      </c>
      <c r="G319" s="45">
        <v>4.0207499999999996</v>
      </c>
      <c r="H319" s="60">
        <v>3.4575</v>
      </c>
    </row>
    <row r="320" spans="1:8" ht="16" x14ac:dyDescent="0.2">
      <c r="A320" s="44">
        <v>500204</v>
      </c>
      <c r="B320" s="42" t="s">
        <v>694</v>
      </c>
      <c r="C320" s="42" t="s">
        <v>695</v>
      </c>
      <c r="D320" s="45">
        <v>2.9220000000000002</v>
      </c>
      <c r="E320" s="45">
        <v>2.802</v>
      </c>
      <c r="F320" s="45">
        <v>3.1619999999999999</v>
      </c>
      <c r="G320" s="45">
        <v>3.0895000000000001</v>
      </c>
      <c r="H320" s="60">
        <v>3.3635000000000002</v>
      </c>
    </row>
    <row r="321" spans="1:8" ht="16" x14ac:dyDescent="0.2">
      <c r="A321" s="44">
        <v>500727</v>
      </c>
      <c r="B321" s="42" t="s">
        <v>696</v>
      </c>
      <c r="C321" s="42" t="s">
        <v>697</v>
      </c>
      <c r="D321" s="45">
        <v>7.9962600000000004</v>
      </c>
      <c r="E321" s="45">
        <v>2.7084699999999997</v>
      </c>
      <c r="F321" s="45">
        <v>2.2869000000000002</v>
      </c>
      <c r="G321" s="45">
        <v>3.2318999999999996</v>
      </c>
      <c r="H321" s="60">
        <v>3.2079</v>
      </c>
    </row>
    <row r="322" spans="1:8" ht="16" x14ac:dyDescent="0.2">
      <c r="A322" s="44">
        <v>500869</v>
      </c>
      <c r="B322" s="42" t="s">
        <v>698</v>
      </c>
      <c r="C322" s="42" t="s">
        <v>699</v>
      </c>
      <c r="D322" s="45">
        <v>4.47525</v>
      </c>
      <c r="E322" s="45">
        <v>61.72325</v>
      </c>
      <c r="F322" s="45">
        <v>2.7959999999999998</v>
      </c>
      <c r="G322" s="45">
        <v>2.774</v>
      </c>
      <c r="H322" s="60">
        <v>2.9951999999999996</v>
      </c>
    </row>
    <row r="323" spans="1:8" ht="16" x14ac:dyDescent="0.2">
      <c r="A323" s="46">
        <v>501152</v>
      </c>
      <c r="B323" s="42" t="s">
        <v>700</v>
      </c>
      <c r="C323" s="42" t="s">
        <v>701</v>
      </c>
      <c r="D323" s="45">
        <v>0</v>
      </c>
      <c r="E323" s="45">
        <v>0</v>
      </c>
      <c r="F323" s="45">
        <v>1.9314</v>
      </c>
      <c r="G323" s="45">
        <v>2.5607000000000002</v>
      </c>
      <c r="H323" s="60">
        <v>2.9232</v>
      </c>
    </row>
    <row r="324" spans="1:8" ht="16" x14ac:dyDescent="0.2">
      <c r="A324" s="44">
        <v>500724</v>
      </c>
      <c r="B324" s="42" t="s">
        <v>702</v>
      </c>
      <c r="C324" s="42" t="s">
        <v>703</v>
      </c>
      <c r="D324" s="45">
        <v>6.7034799999999999</v>
      </c>
      <c r="E324" s="45">
        <v>2.4417499999999999</v>
      </c>
      <c r="F324" s="45">
        <v>2.0682</v>
      </c>
      <c r="G324" s="45">
        <v>2.9861999999999997</v>
      </c>
      <c r="H324" s="60">
        <v>2.8361999999999998</v>
      </c>
    </row>
    <row r="325" spans="1:8" ht="16" x14ac:dyDescent="0.2">
      <c r="A325" s="44">
        <v>500112</v>
      </c>
      <c r="B325" s="42" t="s">
        <v>704</v>
      </c>
      <c r="C325" s="42" t="s">
        <v>705</v>
      </c>
      <c r="D325" s="45">
        <v>2.8783600000000003</v>
      </c>
      <c r="E325" s="45">
        <v>3.7069599999999996</v>
      </c>
      <c r="F325" s="45">
        <v>2.6270799999999999</v>
      </c>
      <c r="G325" s="45">
        <v>2.7120699999999998</v>
      </c>
      <c r="H325" s="60">
        <v>2.7186899999999996</v>
      </c>
    </row>
    <row r="326" spans="1:8" ht="16" x14ac:dyDescent="0.2">
      <c r="A326" s="46">
        <v>500906</v>
      </c>
      <c r="B326" s="42" t="s">
        <v>706</v>
      </c>
      <c r="C326" s="42" t="s">
        <v>707</v>
      </c>
      <c r="D326" s="45">
        <v>4.1894999999999998</v>
      </c>
      <c r="E326" s="45">
        <v>5.8319999999999999</v>
      </c>
      <c r="F326" s="45">
        <v>4.1399900000000001</v>
      </c>
      <c r="G326" s="45">
        <v>3.1080000000000001</v>
      </c>
      <c r="H326" s="60">
        <v>2.5570999999999997</v>
      </c>
    </row>
    <row r="327" spans="1:8" ht="16" x14ac:dyDescent="0.2">
      <c r="A327" s="44">
        <v>500184</v>
      </c>
      <c r="B327" s="42" t="s">
        <v>708</v>
      </c>
      <c r="C327" s="42" t="s">
        <v>709</v>
      </c>
      <c r="D327" s="45">
        <v>2.6205799999999999</v>
      </c>
      <c r="E327" s="45">
        <v>2.4599099999999998</v>
      </c>
      <c r="F327" s="45">
        <v>2.3063099999999999</v>
      </c>
      <c r="G327" s="45">
        <v>2.1761500000000003</v>
      </c>
      <c r="H327" s="60">
        <v>2.52495</v>
      </c>
    </row>
    <row r="328" spans="1:8" ht="16" x14ac:dyDescent="0.2">
      <c r="A328" s="44">
        <v>500310</v>
      </c>
      <c r="B328" s="42" t="s">
        <v>710</v>
      </c>
      <c r="C328" s="42" t="s">
        <v>711</v>
      </c>
      <c r="D328" s="45">
        <v>5.79</v>
      </c>
      <c r="E328" s="45">
        <v>3.5615999999999999</v>
      </c>
      <c r="F328" s="45">
        <v>3.1215999999999999</v>
      </c>
      <c r="G328" s="45">
        <v>3.5423999999999998</v>
      </c>
      <c r="H328" s="60">
        <v>2.512</v>
      </c>
    </row>
    <row r="329" spans="1:8" ht="16" x14ac:dyDescent="0.2">
      <c r="A329" s="44">
        <v>500069</v>
      </c>
      <c r="B329" s="42" t="s">
        <v>712</v>
      </c>
      <c r="C329" s="42" t="s">
        <v>713</v>
      </c>
      <c r="D329" s="45">
        <v>3.9007700000000005</v>
      </c>
      <c r="E329" s="45">
        <v>3.9098700000000006</v>
      </c>
      <c r="F329" s="45">
        <v>2.3156000000000003</v>
      </c>
      <c r="G329" s="45">
        <v>2.1815300000000004</v>
      </c>
      <c r="H329" s="60">
        <v>2.4471800000000004</v>
      </c>
    </row>
    <row r="330" spans="1:8" ht="16" x14ac:dyDescent="0.2">
      <c r="A330" s="46">
        <v>500911</v>
      </c>
      <c r="B330" s="42" t="s">
        <v>714</v>
      </c>
      <c r="C330" s="42" t="s">
        <v>715</v>
      </c>
      <c r="D330" s="45">
        <v>0.6048</v>
      </c>
      <c r="E330" s="45">
        <v>1.2483000000000002</v>
      </c>
      <c r="F330" s="45">
        <v>1.1712</v>
      </c>
      <c r="G330" s="45">
        <v>1.3295999999999999</v>
      </c>
      <c r="H330" s="60">
        <v>2.2679999999999998</v>
      </c>
    </row>
    <row r="331" spans="1:8" ht="16" x14ac:dyDescent="0.2">
      <c r="A331" s="46">
        <v>500123</v>
      </c>
      <c r="B331" s="42" t="s">
        <v>716</v>
      </c>
      <c r="C331" s="42" t="s">
        <v>717</v>
      </c>
      <c r="D331" s="45">
        <v>1.8228</v>
      </c>
      <c r="E331" s="45">
        <v>1.7827999999999999</v>
      </c>
      <c r="F331" s="45">
        <v>1.8828</v>
      </c>
      <c r="G331" s="45">
        <v>2.2038000000000002</v>
      </c>
      <c r="H331" s="60">
        <v>2.2584</v>
      </c>
    </row>
    <row r="332" spans="1:8" ht="16" x14ac:dyDescent="0.2">
      <c r="A332" s="38">
        <v>500609</v>
      </c>
      <c r="B332" s="39" t="s">
        <v>718</v>
      </c>
      <c r="C332" s="39" t="s">
        <v>719</v>
      </c>
      <c r="D332" s="40">
        <v>2.1209699999999998</v>
      </c>
      <c r="E332" s="40">
        <v>2.1507399999999999</v>
      </c>
      <c r="F332" s="40">
        <v>1.9348800000000002</v>
      </c>
      <c r="G332" s="40">
        <v>2.3173000000000004</v>
      </c>
      <c r="H332" s="58">
        <v>2.1779999999999999</v>
      </c>
    </row>
    <row r="333" spans="1:8" ht="16" x14ac:dyDescent="0.2">
      <c r="A333" s="44">
        <v>500062</v>
      </c>
      <c r="B333" s="42" t="s">
        <v>720</v>
      </c>
      <c r="C333" s="42" t="s">
        <v>721</v>
      </c>
      <c r="D333" s="45">
        <v>2.0107600000000003</v>
      </c>
      <c r="E333" s="45">
        <v>2.1787700000000001</v>
      </c>
      <c r="F333" s="45">
        <v>2.4102799999999998</v>
      </c>
      <c r="G333" s="45">
        <v>2.0586500000000001</v>
      </c>
      <c r="H333" s="60">
        <v>2.1718199999999999</v>
      </c>
    </row>
    <row r="334" spans="1:8" ht="16" x14ac:dyDescent="0.2">
      <c r="A334" s="46">
        <v>502010</v>
      </c>
      <c r="B334" s="42" t="s">
        <v>722</v>
      </c>
      <c r="C334" s="42" t="s">
        <v>723</v>
      </c>
      <c r="D334" s="45">
        <v>0</v>
      </c>
      <c r="E334" s="45">
        <v>0</v>
      </c>
      <c r="F334" s="45">
        <v>0</v>
      </c>
      <c r="G334" s="45">
        <v>0</v>
      </c>
      <c r="H334" s="60">
        <v>2.1240000000000001</v>
      </c>
    </row>
    <row r="335" spans="1:8" ht="16" x14ac:dyDescent="0.2">
      <c r="A335" s="46">
        <v>501137</v>
      </c>
      <c r="B335" s="42" t="s">
        <v>724</v>
      </c>
      <c r="C335" s="42" t="s">
        <v>725</v>
      </c>
      <c r="D335" s="45">
        <v>0</v>
      </c>
      <c r="E335" s="45">
        <v>1.3747499999999999</v>
      </c>
      <c r="F335" s="45">
        <v>2.5274999999999999</v>
      </c>
      <c r="G335" s="45">
        <v>2.1150000000000002</v>
      </c>
      <c r="H335" s="60">
        <v>2.1150000000000002</v>
      </c>
    </row>
    <row r="336" spans="1:8" ht="16" x14ac:dyDescent="0.2">
      <c r="A336" s="46">
        <v>500908</v>
      </c>
      <c r="B336" s="42" t="s">
        <v>726</v>
      </c>
      <c r="C336" s="42" t="s">
        <v>727</v>
      </c>
      <c r="D336" s="45">
        <v>2.8559999999999999</v>
      </c>
      <c r="E336" s="45">
        <v>1.788</v>
      </c>
      <c r="F336" s="45">
        <v>1.8959999999999999</v>
      </c>
      <c r="G336" s="45">
        <v>1.998</v>
      </c>
      <c r="H336" s="60">
        <v>2.052</v>
      </c>
    </row>
    <row r="337" spans="1:8" ht="16" x14ac:dyDescent="0.2">
      <c r="A337" s="44">
        <v>500091</v>
      </c>
      <c r="B337" s="42" t="s">
        <v>728</v>
      </c>
      <c r="C337" s="42" t="s">
        <v>729</v>
      </c>
      <c r="D337" s="45">
        <v>2.1986999999999997</v>
      </c>
      <c r="E337" s="45">
        <v>2.3085999999999998</v>
      </c>
      <c r="F337" s="45">
        <v>2.0055000000000001</v>
      </c>
      <c r="G337" s="45">
        <v>2.0051300000000003</v>
      </c>
      <c r="H337" s="60">
        <v>1.9227799999999999</v>
      </c>
    </row>
    <row r="338" spans="1:8" ht="16" x14ac:dyDescent="0.2">
      <c r="A338" s="44">
        <v>500200</v>
      </c>
      <c r="B338" s="42" t="s">
        <v>730</v>
      </c>
      <c r="C338" s="42" t="s">
        <v>731</v>
      </c>
      <c r="D338" s="45">
        <v>2.0591999999999997</v>
      </c>
      <c r="E338" s="45">
        <v>2.0591999999999997</v>
      </c>
      <c r="F338" s="45">
        <v>2.0591999999999997</v>
      </c>
      <c r="G338" s="45">
        <v>2.0640000000000001</v>
      </c>
      <c r="H338" s="60">
        <v>1.8355999999999999</v>
      </c>
    </row>
    <row r="339" spans="1:8" ht="16" x14ac:dyDescent="0.2">
      <c r="A339" s="44">
        <v>500087</v>
      </c>
      <c r="B339" s="42" t="s">
        <v>732</v>
      </c>
      <c r="C339" s="42" t="s">
        <v>733</v>
      </c>
      <c r="D339" s="45">
        <v>1.4616</v>
      </c>
      <c r="E339" s="45">
        <v>1.4447999999999999</v>
      </c>
      <c r="F339" s="45">
        <v>1.2432000000000001</v>
      </c>
      <c r="G339" s="45">
        <v>1.2897000000000001</v>
      </c>
      <c r="H339" s="60">
        <v>1.8320999999999998</v>
      </c>
    </row>
    <row r="340" spans="1:8" ht="16" x14ac:dyDescent="0.2">
      <c r="A340" s="46">
        <v>501065</v>
      </c>
      <c r="B340" s="42" t="s">
        <v>734</v>
      </c>
      <c r="C340" s="42" t="s">
        <v>735</v>
      </c>
      <c r="D340" s="45">
        <v>1.728</v>
      </c>
      <c r="E340" s="45">
        <v>1.8552</v>
      </c>
      <c r="F340" s="45">
        <v>1.6824000000000001</v>
      </c>
      <c r="G340" s="45">
        <v>2.0499800000000001</v>
      </c>
      <c r="H340" s="60">
        <v>1.8216799999999997</v>
      </c>
    </row>
    <row r="341" spans="1:8" ht="16" x14ac:dyDescent="0.2">
      <c r="A341" s="46">
        <v>500916</v>
      </c>
      <c r="B341" s="42" t="s">
        <v>736</v>
      </c>
      <c r="C341" s="42" t="s">
        <v>737</v>
      </c>
      <c r="D341" s="45">
        <v>2.9777</v>
      </c>
      <c r="E341" s="45">
        <v>2.8047</v>
      </c>
      <c r="F341" s="45">
        <v>2.7211399999999997</v>
      </c>
      <c r="G341" s="45">
        <v>1.9128000000000001</v>
      </c>
      <c r="H341" s="60">
        <v>1.8109000000000002</v>
      </c>
    </row>
    <row r="342" spans="1:8" ht="16" x14ac:dyDescent="0.2">
      <c r="A342" s="44">
        <v>500089</v>
      </c>
      <c r="B342" s="42" t="s">
        <v>738</v>
      </c>
      <c r="C342" s="42" t="s">
        <v>739</v>
      </c>
      <c r="D342" s="45">
        <v>3.3369</v>
      </c>
      <c r="E342" s="45">
        <v>2.17</v>
      </c>
      <c r="F342" s="45">
        <v>1.9698000000000002</v>
      </c>
      <c r="G342" s="45">
        <v>1.4507300000000001</v>
      </c>
      <c r="H342" s="60">
        <v>1.7088800000000002</v>
      </c>
    </row>
    <row r="343" spans="1:8" ht="16" x14ac:dyDescent="0.2">
      <c r="A343" s="44">
        <v>500618</v>
      </c>
      <c r="B343" s="42" t="s">
        <v>740</v>
      </c>
      <c r="C343" s="42" t="s">
        <v>741</v>
      </c>
      <c r="D343" s="45">
        <v>0.80025000000000002</v>
      </c>
      <c r="E343" s="45">
        <v>0.82499999999999996</v>
      </c>
      <c r="F343" s="45">
        <v>1.1186999999999998</v>
      </c>
      <c r="G343" s="45">
        <v>1.5845</v>
      </c>
      <c r="H343" s="60">
        <v>1.6932</v>
      </c>
    </row>
    <row r="344" spans="1:8" ht="16" x14ac:dyDescent="0.2">
      <c r="A344" s="44">
        <v>500207</v>
      </c>
      <c r="B344" s="42" t="s">
        <v>742</v>
      </c>
      <c r="C344" s="42" t="s">
        <v>743</v>
      </c>
      <c r="D344" s="45">
        <v>1.3520000000000001</v>
      </c>
      <c r="E344" s="45">
        <v>1.1839999999999999</v>
      </c>
      <c r="F344" s="45">
        <v>1.32</v>
      </c>
      <c r="G344" s="45">
        <v>1.3935</v>
      </c>
      <c r="H344" s="60">
        <v>1.6785000000000001</v>
      </c>
    </row>
    <row r="345" spans="1:8" ht="16" x14ac:dyDescent="0.2">
      <c r="A345" s="44">
        <v>500086</v>
      </c>
      <c r="B345" s="42" t="s">
        <v>744</v>
      </c>
      <c r="C345" s="42" t="s">
        <v>745</v>
      </c>
      <c r="D345" s="45">
        <v>1.9803000000000002</v>
      </c>
      <c r="E345" s="45">
        <v>2.1238000000000001</v>
      </c>
      <c r="F345" s="45">
        <v>1.4342999999999999</v>
      </c>
      <c r="G345" s="45">
        <v>1.48553</v>
      </c>
      <c r="H345" s="60">
        <v>1.60398</v>
      </c>
    </row>
    <row r="346" spans="1:8" ht="16" x14ac:dyDescent="0.2">
      <c r="A346" s="44">
        <v>500068</v>
      </c>
      <c r="B346" s="42" t="s">
        <v>746</v>
      </c>
      <c r="C346" s="42" t="s">
        <v>747</v>
      </c>
      <c r="D346" s="45">
        <v>1.3251199999999999</v>
      </c>
      <c r="E346" s="45">
        <v>1.2904599999999999</v>
      </c>
      <c r="F346" s="45">
        <v>1.4059499999999998</v>
      </c>
      <c r="G346" s="45">
        <v>1.5159800000000001</v>
      </c>
      <c r="H346" s="60">
        <v>1.5769099999999998</v>
      </c>
    </row>
    <row r="347" spans="1:8" ht="16" x14ac:dyDescent="0.2">
      <c r="A347" s="46">
        <v>502003</v>
      </c>
      <c r="B347" s="42" t="s">
        <v>748</v>
      </c>
      <c r="C347" s="42" t="s">
        <v>749</v>
      </c>
      <c r="D347" s="45">
        <v>0</v>
      </c>
      <c r="E347" s="45">
        <v>0</v>
      </c>
      <c r="F347" s="45">
        <v>0</v>
      </c>
      <c r="G347" s="45">
        <v>0.14280000000000001</v>
      </c>
      <c r="H347" s="60">
        <v>1.4994000000000001</v>
      </c>
    </row>
    <row r="348" spans="1:8" ht="16" x14ac:dyDescent="0.2">
      <c r="A348" s="44">
        <v>500199</v>
      </c>
      <c r="B348" s="42" t="s">
        <v>750</v>
      </c>
      <c r="C348" s="42" t="s">
        <v>751</v>
      </c>
      <c r="D348" s="45">
        <v>2.0568</v>
      </c>
      <c r="E348" s="45">
        <v>1.6653</v>
      </c>
      <c r="F348" s="45">
        <v>1.5617999999999999</v>
      </c>
      <c r="G348" s="45">
        <v>1.6698</v>
      </c>
      <c r="H348" s="60">
        <v>1.464</v>
      </c>
    </row>
    <row r="349" spans="1:8" ht="16" x14ac:dyDescent="0.2">
      <c r="A349" s="46">
        <v>501196</v>
      </c>
      <c r="B349" s="42" t="s">
        <v>752</v>
      </c>
      <c r="C349" s="42" t="s">
        <v>753</v>
      </c>
      <c r="D349" s="45">
        <v>0</v>
      </c>
      <c r="E349" s="45">
        <v>0</v>
      </c>
      <c r="F349" s="45">
        <v>0</v>
      </c>
      <c r="G349" s="45">
        <v>0</v>
      </c>
      <c r="H349" s="60">
        <v>1.3140000000000001</v>
      </c>
    </row>
    <row r="350" spans="1:8" ht="16" x14ac:dyDescent="0.2">
      <c r="A350" s="44">
        <v>500210</v>
      </c>
      <c r="B350" s="42" t="s">
        <v>754</v>
      </c>
      <c r="C350" s="42" t="s">
        <v>755</v>
      </c>
      <c r="D350" s="45">
        <v>1.1679999999999999</v>
      </c>
      <c r="E350" s="45">
        <v>1.3919999999999999</v>
      </c>
      <c r="F350" s="45">
        <v>1.2087999999999999</v>
      </c>
      <c r="G350" s="45">
        <v>1.23885</v>
      </c>
      <c r="H350" s="60">
        <v>1.2979499999999999</v>
      </c>
    </row>
    <row r="351" spans="1:8" ht="16" x14ac:dyDescent="0.2">
      <c r="A351" s="44">
        <v>500211</v>
      </c>
      <c r="B351" s="42" t="s">
        <v>756</v>
      </c>
      <c r="C351" s="42" t="s">
        <v>757</v>
      </c>
      <c r="D351" s="45">
        <v>1.3417600000000001</v>
      </c>
      <c r="E351" s="45">
        <v>1.2675000000000001</v>
      </c>
      <c r="F351" s="45">
        <v>1.2075</v>
      </c>
      <c r="G351" s="45">
        <v>1.18845</v>
      </c>
      <c r="H351" s="60">
        <v>1.2372000000000001</v>
      </c>
    </row>
    <row r="352" spans="1:8" ht="16" x14ac:dyDescent="0.2">
      <c r="A352" s="46">
        <v>501087</v>
      </c>
      <c r="B352" s="42" t="s">
        <v>758</v>
      </c>
      <c r="C352" s="42" t="e">
        <f>_xlfn.XLOOKUP(B352,'[1]MDB-Auszug 09.01.2026'!D:D,'[1]MDB-Auszug 09.01.2026'!A:A)</f>
        <v>#N/A</v>
      </c>
      <c r="D352" s="45">
        <v>0.6782999999999999</v>
      </c>
      <c r="E352" s="45">
        <v>1.05366</v>
      </c>
      <c r="F352" s="45">
        <v>0.73499999999999999</v>
      </c>
      <c r="G352" s="45">
        <v>1.2210000000000001</v>
      </c>
      <c r="H352" s="60">
        <v>1.0469999999999999</v>
      </c>
    </row>
    <row r="353" spans="1:8" ht="16" x14ac:dyDescent="0.2">
      <c r="A353" s="44">
        <v>500912</v>
      </c>
      <c r="B353" s="42" t="s">
        <v>759</v>
      </c>
      <c r="C353" s="42" t="s">
        <v>760</v>
      </c>
      <c r="D353" s="45">
        <v>1.956</v>
      </c>
      <c r="E353" s="45">
        <v>0.97199999999999998</v>
      </c>
      <c r="F353" s="45">
        <v>0.99</v>
      </c>
      <c r="G353" s="45">
        <v>1.032</v>
      </c>
      <c r="H353" s="60">
        <v>1.032</v>
      </c>
    </row>
    <row r="354" spans="1:8" ht="16" x14ac:dyDescent="0.2">
      <c r="A354" s="44">
        <v>500720</v>
      </c>
      <c r="B354" s="42" t="s">
        <v>761</v>
      </c>
      <c r="C354" s="42" t="s">
        <v>762</v>
      </c>
      <c r="D354" s="45">
        <v>4.01356</v>
      </c>
      <c r="E354" s="45">
        <v>0</v>
      </c>
      <c r="F354" s="45">
        <v>0</v>
      </c>
      <c r="G354" s="45">
        <v>0</v>
      </c>
      <c r="H354" s="60">
        <v>0.999</v>
      </c>
    </row>
    <row r="355" spans="1:8" ht="16" x14ac:dyDescent="0.2">
      <c r="A355" s="44">
        <v>500070</v>
      </c>
      <c r="B355" s="42" t="s">
        <v>763</v>
      </c>
      <c r="C355" s="42" t="s">
        <v>764</v>
      </c>
      <c r="D355" s="45">
        <v>2.0600999999999998</v>
      </c>
      <c r="E355" s="45">
        <v>1.9935999999999998</v>
      </c>
      <c r="F355" s="45">
        <v>1.0940999999999999</v>
      </c>
      <c r="G355" s="45">
        <v>1.0461800000000001</v>
      </c>
      <c r="H355" s="60">
        <v>0.87832999999999994</v>
      </c>
    </row>
    <row r="356" spans="1:8" ht="16" x14ac:dyDescent="0.2">
      <c r="A356" s="44">
        <v>500090</v>
      </c>
      <c r="B356" s="42" t="s">
        <v>765</v>
      </c>
      <c r="C356" s="42" t="s">
        <v>766</v>
      </c>
      <c r="D356" s="45">
        <v>0.42</v>
      </c>
      <c r="E356" s="45">
        <v>0.42</v>
      </c>
      <c r="F356" s="45">
        <v>0.504</v>
      </c>
      <c r="G356" s="45">
        <v>1.125</v>
      </c>
      <c r="H356" s="60">
        <v>0.83699999999999997</v>
      </c>
    </row>
    <row r="357" spans="1:8" ht="16" x14ac:dyDescent="0.2">
      <c r="A357" s="44">
        <v>500638</v>
      </c>
      <c r="B357" s="42" t="s">
        <v>767</v>
      </c>
      <c r="C357" s="42" t="s">
        <v>768</v>
      </c>
      <c r="D357" s="45">
        <v>2.57</v>
      </c>
      <c r="E357" s="45">
        <v>1.04</v>
      </c>
      <c r="F357" s="45">
        <v>1.7</v>
      </c>
      <c r="G357" s="45">
        <v>1.05</v>
      </c>
      <c r="H357" s="60">
        <v>0.75</v>
      </c>
    </row>
    <row r="358" spans="1:8" ht="16" x14ac:dyDescent="0.2">
      <c r="A358" s="44">
        <v>500064</v>
      </c>
      <c r="B358" s="42" t="s">
        <v>769</v>
      </c>
      <c r="C358" s="42" t="s">
        <v>770</v>
      </c>
      <c r="D358" s="45">
        <v>0.42</v>
      </c>
      <c r="E358" s="45">
        <v>0.52500000000000002</v>
      </c>
      <c r="F358" s="45">
        <v>0.67200000000000004</v>
      </c>
      <c r="G358" s="45">
        <v>0.68700000000000006</v>
      </c>
      <c r="H358" s="60">
        <v>0.72299999999999998</v>
      </c>
    </row>
    <row r="359" spans="1:8" ht="16" x14ac:dyDescent="0.2">
      <c r="A359" s="46">
        <v>500797</v>
      </c>
      <c r="B359" s="42" t="s">
        <v>771</v>
      </c>
      <c r="C359" s="42" t="s">
        <v>772</v>
      </c>
      <c r="D359" s="45">
        <v>0</v>
      </c>
      <c r="E359" s="45">
        <v>0</v>
      </c>
      <c r="F359" s="45">
        <v>0.37410000000000004</v>
      </c>
      <c r="G359" s="45">
        <v>0.77640000000000009</v>
      </c>
      <c r="H359" s="60">
        <v>0.71879999999999999</v>
      </c>
    </row>
    <row r="360" spans="1:8" ht="16" x14ac:dyDescent="0.2">
      <c r="A360" s="46">
        <v>501003</v>
      </c>
      <c r="B360" s="42" t="s">
        <v>773</v>
      </c>
      <c r="C360" s="42" t="s">
        <v>774</v>
      </c>
      <c r="D360" s="45">
        <v>0.28949999999999998</v>
      </c>
      <c r="E360" s="45">
        <v>0.3795</v>
      </c>
      <c r="F360" s="45">
        <v>0.51149999999999995</v>
      </c>
      <c r="G360" s="45">
        <v>0.61424999999999996</v>
      </c>
      <c r="H360" s="60">
        <v>0.61560000000000004</v>
      </c>
    </row>
    <row r="361" spans="1:8" ht="16" x14ac:dyDescent="0.2">
      <c r="A361" s="38">
        <v>500890</v>
      </c>
      <c r="B361" s="39" t="s">
        <v>775</v>
      </c>
      <c r="C361" s="39" t="s">
        <v>776</v>
      </c>
      <c r="D361" s="40">
        <v>0.48</v>
      </c>
      <c r="E361" s="40">
        <v>0.48</v>
      </c>
      <c r="F361" s="40">
        <v>0.48</v>
      </c>
      <c r="G361" s="40">
        <v>0.52200000000000002</v>
      </c>
      <c r="H361" s="58">
        <v>0.54600000000000004</v>
      </c>
    </row>
    <row r="362" spans="1:8" ht="16" x14ac:dyDescent="0.2">
      <c r="A362" s="44">
        <v>500217</v>
      </c>
      <c r="B362" s="42" t="s">
        <v>777</v>
      </c>
      <c r="C362" s="42" t="s">
        <v>778</v>
      </c>
      <c r="D362" s="45">
        <v>0.216</v>
      </c>
      <c r="E362" s="45">
        <v>0.108</v>
      </c>
      <c r="F362" s="45">
        <v>0.108</v>
      </c>
      <c r="G362" s="45">
        <v>0.1125</v>
      </c>
      <c r="H362" s="60">
        <v>0.52349999999999997</v>
      </c>
    </row>
    <row r="363" spans="1:8" ht="16" x14ac:dyDescent="0.2">
      <c r="A363" s="46">
        <v>500795</v>
      </c>
      <c r="B363" s="42" t="s">
        <v>779</v>
      </c>
      <c r="C363" s="42" t="s">
        <v>780</v>
      </c>
      <c r="D363" s="45">
        <v>0</v>
      </c>
      <c r="E363" s="45">
        <v>0</v>
      </c>
      <c r="F363" s="45">
        <v>0.44291999999999998</v>
      </c>
      <c r="G363" s="45">
        <v>0.76813999999999993</v>
      </c>
      <c r="H363" s="60">
        <v>0.51672000000000007</v>
      </c>
    </row>
    <row r="364" spans="1:8" ht="16" x14ac:dyDescent="0.2">
      <c r="A364" s="46">
        <v>501142</v>
      </c>
      <c r="B364" s="42" t="s">
        <v>781</v>
      </c>
      <c r="C364" s="42" t="s">
        <v>782</v>
      </c>
      <c r="D364" s="45">
        <v>0</v>
      </c>
      <c r="E364" s="45">
        <v>0</v>
      </c>
      <c r="F364" s="45">
        <v>0.34300000000000003</v>
      </c>
      <c r="G364" s="45">
        <v>0.49</v>
      </c>
      <c r="H364" s="60">
        <v>0.49</v>
      </c>
    </row>
    <row r="365" spans="1:8" ht="16" x14ac:dyDescent="0.2">
      <c r="A365" s="44">
        <v>500744</v>
      </c>
      <c r="B365" s="42" t="s">
        <v>783</v>
      </c>
      <c r="C365" s="42" t="s">
        <v>784</v>
      </c>
      <c r="D365" s="45">
        <v>0.49199999999999999</v>
      </c>
      <c r="E365" s="45">
        <v>0.45600000000000002</v>
      </c>
      <c r="F365" s="45">
        <v>0.27600000000000002</v>
      </c>
      <c r="G365" s="45">
        <v>0.40739999999999998</v>
      </c>
      <c r="H365" s="60">
        <v>0.4788</v>
      </c>
    </row>
    <row r="366" spans="1:8" ht="16" x14ac:dyDescent="0.2">
      <c r="A366" s="44">
        <v>500745</v>
      </c>
      <c r="B366" s="42" t="s">
        <v>785</v>
      </c>
      <c r="C366" s="42" t="s">
        <v>786</v>
      </c>
      <c r="D366" s="45">
        <v>0.27600000000000002</v>
      </c>
      <c r="E366" s="45">
        <v>0.39600000000000002</v>
      </c>
      <c r="F366" s="45">
        <v>0.36599999999999999</v>
      </c>
      <c r="G366" s="45">
        <v>0.40739999999999998</v>
      </c>
      <c r="H366" s="60">
        <v>0.4788</v>
      </c>
    </row>
    <row r="367" spans="1:8" ht="16" x14ac:dyDescent="0.2">
      <c r="A367" s="46">
        <v>502001</v>
      </c>
      <c r="B367" s="42" t="s">
        <v>787</v>
      </c>
      <c r="C367" s="42" t="s">
        <v>788</v>
      </c>
      <c r="D367" s="45">
        <v>0</v>
      </c>
      <c r="E367" s="45">
        <v>0</v>
      </c>
      <c r="F367" s="45">
        <v>0.111</v>
      </c>
      <c r="G367" s="45">
        <v>0.34649999999999997</v>
      </c>
      <c r="H367" s="60">
        <v>0.45</v>
      </c>
    </row>
    <row r="368" spans="1:8" ht="16" x14ac:dyDescent="0.2">
      <c r="A368" s="46">
        <v>500796</v>
      </c>
      <c r="B368" s="42" t="s">
        <v>789</v>
      </c>
      <c r="C368" s="42" t="s">
        <v>790</v>
      </c>
      <c r="D368" s="45">
        <v>0</v>
      </c>
      <c r="E368" s="45">
        <v>0</v>
      </c>
      <c r="F368" s="45">
        <v>0</v>
      </c>
      <c r="G368" s="45">
        <v>7.740000000000001E-2</v>
      </c>
      <c r="H368" s="60">
        <v>0.39600000000000002</v>
      </c>
    </row>
    <row r="369" spans="1:8" ht="16" x14ac:dyDescent="0.2">
      <c r="A369" s="46">
        <v>501224</v>
      </c>
      <c r="B369" s="42" t="s">
        <v>791</v>
      </c>
      <c r="C369" s="42" t="s">
        <v>792</v>
      </c>
      <c r="D369" s="45">
        <v>0</v>
      </c>
      <c r="E369" s="45">
        <v>0</v>
      </c>
      <c r="F369" s="45">
        <v>0</v>
      </c>
      <c r="G369" s="45">
        <v>0</v>
      </c>
      <c r="H369" s="60">
        <v>0.38400000000000001</v>
      </c>
    </row>
    <row r="370" spans="1:8" ht="16" x14ac:dyDescent="0.2">
      <c r="A370" s="44">
        <v>500743</v>
      </c>
      <c r="B370" s="42" t="s">
        <v>793</v>
      </c>
      <c r="C370" s="42" t="s">
        <v>794</v>
      </c>
      <c r="D370" s="45">
        <v>0.12</v>
      </c>
      <c r="E370" s="45">
        <v>0.12</v>
      </c>
      <c r="F370" s="45">
        <v>0</v>
      </c>
      <c r="G370" s="45">
        <v>0.28748000000000001</v>
      </c>
      <c r="H370" s="60">
        <v>0.35596</v>
      </c>
    </row>
    <row r="371" spans="1:8" ht="16" x14ac:dyDescent="0.2">
      <c r="A371" s="44">
        <v>500742</v>
      </c>
      <c r="B371" s="42" t="s">
        <v>795</v>
      </c>
      <c r="C371" s="42" t="s">
        <v>796</v>
      </c>
      <c r="D371" s="45">
        <v>0.27600000000000002</v>
      </c>
      <c r="E371" s="45">
        <v>0.40600000000000003</v>
      </c>
      <c r="F371" s="45">
        <v>0.156</v>
      </c>
      <c r="G371" s="45">
        <v>0.32288</v>
      </c>
      <c r="H371" s="60">
        <v>0.33076</v>
      </c>
    </row>
    <row r="372" spans="1:8" ht="16" x14ac:dyDescent="0.2">
      <c r="A372" s="46">
        <v>501103</v>
      </c>
      <c r="B372" s="42" t="s">
        <v>797</v>
      </c>
      <c r="C372" s="42" t="e">
        <f>_xlfn.XLOOKUP(B372,'[1]MDB-Auszug 09.01.2026'!D:D,'[1]MDB-Auszug 09.01.2026'!A:A)</f>
        <v>#N/A</v>
      </c>
      <c r="D372" s="45">
        <v>0</v>
      </c>
      <c r="E372" s="45">
        <v>0</v>
      </c>
      <c r="F372" s="45">
        <v>0.13800000000000001</v>
      </c>
      <c r="G372" s="45">
        <v>0.3</v>
      </c>
      <c r="H372" s="60">
        <v>0.3</v>
      </c>
    </row>
    <row r="373" spans="1:8" ht="16" x14ac:dyDescent="0.2">
      <c r="A373" s="44">
        <v>500741</v>
      </c>
      <c r="B373" s="42" t="s">
        <v>798</v>
      </c>
      <c r="C373" s="42" t="s">
        <v>799</v>
      </c>
      <c r="D373" s="45">
        <v>0.12</v>
      </c>
      <c r="E373" s="45">
        <v>0.06</v>
      </c>
      <c r="F373" s="45">
        <v>0</v>
      </c>
      <c r="G373" s="45">
        <v>0.186</v>
      </c>
      <c r="H373" s="60">
        <v>0.252</v>
      </c>
    </row>
    <row r="374" spans="1:8" ht="16" x14ac:dyDescent="0.2">
      <c r="A374" s="46">
        <v>500739</v>
      </c>
      <c r="B374" s="42" t="s">
        <v>800</v>
      </c>
      <c r="C374" s="42" t="s">
        <v>801</v>
      </c>
      <c r="D374" s="45">
        <v>0.06</v>
      </c>
      <c r="E374" s="45">
        <v>0.12</v>
      </c>
      <c r="F374" s="45">
        <v>0.06</v>
      </c>
      <c r="G374" s="45">
        <v>0.186</v>
      </c>
      <c r="H374" s="60">
        <v>0.252</v>
      </c>
    </row>
    <row r="375" spans="1:8" ht="16" x14ac:dyDescent="0.2">
      <c r="A375" s="46">
        <v>502011</v>
      </c>
      <c r="B375" s="42" t="s">
        <v>802</v>
      </c>
      <c r="C375" s="42" t="s">
        <v>803</v>
      </c>
      <c r="D375" s="45">
        <v>0</v>
      </c>
      <c r="E375" s="45">
        <v>0</v>
      </c>
      <c r="F375" s="45">
        <v>0</v>
      </c>
      <c r="G375" s="45">
        <v>0</v>
      </c>
      <c r="H375" s="60">
        <v>0.22800000000000001</v>
      </c>
    </row>
    <row r="376" spans="1:8" ht="16" x14ac:dyDescent="0.2">
      <c r="A376" s="44">
        <v>500063</v>
      </c>
      <c r="B376" s="42" t="s">
        <v>804</v>
      </c>
      <c r="C376" s="42" t="s">
        <v>805</v>
      </c>
      <c r="D376" s="45">
        <v>0.47460000000000002</v>
      </c>
      <c r="E376" s="45">
        <v>0.33600000000000002</v>
      </c>
      <c r="F376" s="45">
        <v>0.42</v>
      </c>
      <c r="G376" s="45">
        <v>0.34499999999999997</v>
      </c>
      <c r="H376" s="60">
        <v>0.186</v>
      </c>
    </row>
    <row r="377" spans="1:8" ht="16" x14ac:dyDescent="0.2">
      <c r="A377" s="46">
        <v>501229</v>
      </c>
      <c r="B377" s="42" t="s">
        <v>806</v>
      </c>
      <c r="C377" s="42" t="s">
        <v>807</v>
      </c>
      <c r="D377" s="45">
        <v>0</v>
      </c>
      <c r="E377" s="45">
        <v>0</v>
      </c>
      <c r="F377" s="45">
        <v>0</v>
      </c>
      <c r="G377" s="45">
        <v>0</v>
      </c>
      <c r="H377" s="60">
        <v>0.18</v>
      </c>
    </row>
    <row r="378" spans="1:8" ht="16" x14ac:dyDescent="0.2">
      <c r="A378" s="44">
        <v>500737</v>
      </c>
      <c r="B378" s="42" t="s">
        <v>808</v>
      </c>
      <c r="C378" s="42" t="s">
        <v>809</v>
      </c>
      <c r="D378" s="45">
        <v>0.216</v>
      </c>
      <c r="E378" s="45">
        <v>0.18</v>
      </c>
      <c r="F378" s="45">
        <v>0</v>
      </c>
      <c r="G378" s="45">
        <v>0.123</v>
      </c>
      <c r="H378" s="60">
        <v>0.126</v>
      </c>
    </row>
    <row r="379" spans="1:8" ht="16" x14ac:dyDescent="0.2">
      <c r="A379" s="44">
        <v>500740</v>
      </c>
      <c r="B379" s="42" t="s">
        <v>810</v>
      </c>
      <c r="C379" s="42" t="s">
        <v>811</v>
      </c>
      <c r="D379" s="45">
        <v>9.6000000000000002E-2</v>
      </c>
      <c r="E379" s="45">
        <v>0</v>
      </c>
      <c r="F379" s="45">
        <v>0</v>
      </c>
      <c r="G379" s="45">
        <v>0.123</v>
      </c>
      <c r="H379" s="60">
        <v>0.126</v>
      </c>
    </row>
    <row r="380" spans="1:8" ht="16" x14ac:dyDescent="0.2">
      <c r="A380" s="46" t="e">
        <f>_xlfn.XLOOKUP(B380,'[1]MDB-Auszug 09.01.2026'!D:D,'[1]MDB-Auszug 09.01.2026'!E:E)</f>
        <v>#N/A</v>
      </c>
      <c r="B380" s="42" t="s">
        <v>812</v>
      </c>
      <c r="C380" s="42" t="e">
        <f>_xlfn.XLOOKUP(B380,'[1]MDB-Auszug 09.01.2026'!D:D,'[1]MDB-Auszug 09.01.2026'!A:A)</f>
        <v>#N/A</v>
      </c>
      <c r="D380" s="45">
        <v>0</v>
      </c>
      <c r="E380" s="45">
        <v>0</v>
      </c>
      <c r="F380" s="45">
        <v>0</v>
      </c>
      <c r="G380" s="45">
        <v>0</v>
      </c>
      <c r="H380" s="60">
        <v>0.1176</v>
      </c>
    </row>
    <row r="381" spans="1:8" ht="16" x14ac:dyDescent="0.2">
      <c r="A381" s="44">
        <v>500738</v>
      </c>
      <c r="B381" s="42" t="s">
        <v>813</v>
      </c>
      <c r="C381" s="42" t="s">
        <v>814</v>
      </c>
      <c r="D381" s="45">
        <v>0.159</v>
      </c>
      <c r="E381" s="45">
        <v>9.9000000000000005E-2</v>
      </c>
      <c r="F381" s="45">
        <v>9.9000000000000005E-2</v>
      </c>
      <c r="G381" s="45">
        <v>0.10147999999999999</v>
      </c>
      <c r="H381" s="60">
        <v>0.10396</v>
      </c>
    </row>
    <row r="382" spans="1:8" ht="16" x14ac:dyDescent="0.2">
      <c r="A382" s="34">
        <v>500173</v>
      </c>
      <c r="B382" s="35" t="s">
        <v>815</v>
      </c>
      <c r="C382" s="35" t="s">
        <v>75</v>
      </c>
      <c r="D382" s="37">
        <v>0</v>
      </c>
      <c r="E382" s="37">
        <v>0</v>
      </c>
      <c r="F382" s="37">
        <v>0</v>
      </c>
      <c r="G382" s="37">
        <v>0</v>
      </c>
      <c r="H382" s="57">
        <v>0</v>
      </c>
    </row>
    <row r="383" spans="1:8" ht="16" x14ac:dyDescent="0.2">
      <c r="A383" s="34">
        <v>500855</v>
      </c>
      <c r="B383" s="35" t="s">
        <v>816</v>
      </c>
      <c r="C383" s="35" t="s">
        <v>817</v>
      </c>
      <c r="D383" s="37">
        <v>0</v>
      </c>
      <c r="E383" s="37">
        <v>0</v>
      </c>
      <c r="F383" s="37">
        <v>0</v>
      </c>
      <c r="G383" s="37">
        <v>0</v>
      </c>
      <c r="H383" s="57">
        <v>0</v>
      </c>
    </row>
    <row r="384" spans="1:8" ht="16" x14ac:dyDescent="0.2">
      <c r="A384" s="34">
        <v>500160</v>
      </c>
      <c r="B384" s="35" t="s">
        <v>818</v>
      </c>
      <c r="C384" s="35" t="s">
        <v>819</v>
      </c>
      <c r="D384" s="37">
        <v>0</v>
      </c>
      <c r="E384" s="37">
        <v>0</v>
      </c>
      <c r="F384" s="37">
        <v>0</v>
      </c>
      <c r="G384" s="37">
        <v>0</v>
      </c>
      <c r="H384" s="57">
        <v>0</v>
      </c>
    </row>
    <row r="385" spans="1:8" ht="16" x14ac:dyDescent="0.2">
      <c r="A385" s="38">
        <v>500155</v>
      </c>
      <c r="B385" s="39" t="s">
        <v>820</v>
      </c>
      <c r="C385" s="39" t="s">
        <v>821</v>
      </c>
      <c r="D385" s="40">
        <v>91.837199999999996</v>
      </c>
      <c r="E385" s="40">
        <v>0</v>
      </c>
      <c r="F385" s="40">
        <v>0</v>
      </c>
      <c r="G385" s="40">
        <v>0</v>
      </c>
      <c r="H385" s="58">
        <v>0</v>
      </c>
    </row>
    <row r="386" spans="1:8" ht="16" x14ac:dyDescent="0.2">
      <c r="A386" s="38">
        <v>500176</v>
      </c>
      <c r="B386" s="39" t="s">
        <v>822</v>
      </c>
      <c r="C386" s="39" t="s">
        <v>823</v>
      </c>
      <c r="D386" s="40">
        <v>-1.375</v>
      </c>
      <c r="E386" s="40">
        <v>0</v>
      </c>
      <c r="F386" s="40">
        <v>0</v>
      </c>
      <c r="G386" s="40">
        <v>0</v>
      </c>
      <c r="H386" s="58">
        <v>0</v>
      </c>
    </row>
    <row r="387" spans="1:8" ht="16" x14ac:dyDescent="0.2">
      <c r="A387" s="38">
        <v>500177</v>
      </c>
      <c r="B387" s="39" t="s">
        <v>824</v>
      </c>
      <c r="C387" s="39" t="s">
        <v>825</v>
      </c>
      <c r="D387" s="40">
        <v>59.917389999999997</v>
      </c>
      <c r="E387" s="40">
        <v>59.917389999999997</v>
      </c>
      <c r="F387" s="40">
        <v>0</v>
      </c>
      <c r="G387" s="40">
        <v>0</v>
      </c>
      <c r="H387" s="58">
        <v>0</v>
      </c>
    </row>
    <row r="388" spans="1:8" ht="16" x14ac:dyDescent="0.2">
      <c r="A388" s="38">
        <v>500175</v>
      </c>
      <c r="B388" s="39" t="s">
        <v>826</v>
      </c>
      <c r="C388" s="39" t="s">
        <v>827</v>
      </c>
      <c r="D388" s="40">
        <v>0</v>
      </c>
      <c r="E388" s="40">
        <v>0</v>
      </c>
      <c r="F388" s="40">
        <v>0</v>
      </c>
      <c r="G388" s="40">
        <v>0</v>
      </c>
      <c r="H388" s="58">
        <v>0</v>
      </c>
    </row>
    <row r="389" spans="1:8" ht="16" x14ac:dyDescent="0.2">
      <c r="A389" s="38">
        <v>500897</v>
      </c>
      <c r="B389" s="39" t="s">
        <v>828</v>
      </c>
      <c r="C389" s="39" t="s">
        <v>829</v>
      </c>
      <c r="D389" s="40">
        <v>0</v>
      </c>
      <c r="E389" s="40">
        <v>0</v>
      </c>
      <c r="F389" s="40">
        <v>0</v>
      </c>
      <c r="G389" s="40">
        <v>0</v>
      </c>
      <c r="H389" s="58">
        <v>0</v>
      </c>
    </row>
    <row r="390" spans="1:8" ht="16" x14ac:dyDescent="0.2">
      <c r="A390" s="38">
        <v>500600</v>
      </c>
      <c r="B390" s="39" t="s">
        <v>830</v>
      </c>
      <c r="C390" s="39" t="s">
        <v>831</v>
      </c>
      <c r="D390" s="40">
        <v>0</v>
      </c>
      <c r="E390" s="40">
        <v>0</v>
      </c>
      <c r="F390" s="40">
        <v>0</v>
      </c>
      <c r="G390" s="40">
        <v>0</v>
      </c>
      <c r="H390" s="58">
        <v>0</v>
      </c>
    </row>
    <row r="391" spans="1:8" ht="16" x14ac:dyDescent="0.2">
      <c r="A391" s="38">
        <v>500645</v>
      </c>
      <c r="B391" s="39" t="s">
        <v>832</v>
      </c>
      <c r="C391" s="39" t="s">
        <v>833</v>
      </c>
      <c r="D391" s="40">
        <v>0</v>
      </c>
      <c r="E391" s="40">
        <v>0</v>
      </c>
      <c r="F391" s="40">
        <v>0</v>
      </c>
      <c r="G391" s="40">
        <v>0</v>
      </c>
      <c r="H391" s="58">
        <v>0</v>
      </c>
    </row>
    <row r="392" spans="1:8" ht="16" x14ac:dyDescent="0.2">
      <c r="A392" s="38">
        <v>500921</v>
      </c>
      <c r="B392" s="39" t="s">
        <v>834</v>
      </c>
      <c r="C392" s="39" t="s">
        <v>835</v>
      </c>
      <c r="D392" s="40">
        <v>0</v>
      </c>
      <c r="E392" s="40">
        <v>0</v>
      </c>
      <c r="F392" s="40">
        <v>0</v>
      </c>
      <c r="G392" s="40">
        <v>0</v>
      </c>
      <c r="H392" s="58">
        <v>0</v>
      </c>
    </row>
    <row r="393" spans="1:8" ht="16" x14ac:dyDescent="0.2">
      <c r="A393" s="38">
        <v>500613</v>
      </c>
      <c r="B393" s="39" t="s">
        <v>836</v>
      </c>
      <c r="C393" s="39" t="s">
        <v>837</v>
      </c>
      <c r="D393" s="40">
        <v>0</v>
      </c>
      <c r="E393" s="40">
        <v>0</v>
      </c>
      <c r="F393" s="40">
        <v>0</v>
      </c>
      <c r="G393" s="40">
        <v>0</v>
      </c>
      <c r="H393" s="58">
        <v>0</v>
      </c>
    </row>
    <row r="394" spans="1:8" ht="16" x14ac:dyDescent="0.2">
      <c r="A394" s="38">
        <v>500614</v>
      </c>
      <c r="B394" s="39" t="s">
        <v>838</v>
      </c>
      <c r="C394" s="39" t="s">
        <v>839</v>
      </c>
      <c r="D394" s="40">
        <v>0</v>
      </c>
      <c r="E394" s="40">
        <v>0</v>
      </c>
      <c r="F394" s="40">
        <v>0</v>
      </c>
      <c r="G394" s="40">
        <v>0</v>
      </c>
      <c r="H394" s="58">
        <v>0</v>
      </c>
    </row>
    <row r="395" spans="1:8" ht="16" x14ac:dyDescent="0.2">
      <c r="A395" s="38">
        <v>500604</v>
      </c>
      <c r="B395" s="39" t="s">
        <v>840</v>
      </c>
      <c r="C395" s="39" t="s">
        <v>841</v>
      </c>
      <c r="D395" s="40">
        <v>0</v>
      </c>
      <c r="E395" s="40">
        <v>0</v>
      </c>
      <c r="F395" s="40">
        <v>0</v>
      </c>
      <c r="G395" s="40">
        <v>0</v>
      </c>
      <c r="H395" s="58">
        <v>0</v>
      </c>
    </row>
    <row r="396" spans="1:8" ht="16" x14ac:dyDescent="0.2">
      <c r="A396" s="38">
        <v>500602</v>
      </c>
      <c r="B396" s="39" t="s">
        <v>842</v>
      </c>
      <c r="C396" s="39" t="s">
        <v>843</v>
      </c>
      <c r="D396" s="40">
        <v>0</v>
      </c>
      <c r="E396" s="40">
        <v>0</v>
      </c>
      <c r="F396" s="40">
        <v>0</v>
      </c>
      <c r="G396" s="40">
        <v>0</v>
      </c>
      <c r="H396" s="58">
        <v>0</v>
      </c>
    </row>
    <row r="397" spans="1:8" ht="16" x14ac:dyDescent="0.2">
      <c r="A397" s="38">
        <v>500895</v>
      </c>
      <c r="B397" s="39" t="s">
        <v>844</v>
      </c>
      <c r="C397" s="39" t="s">
        <v>845</v>
      </c>
      <c r="D397" s="40">
        <v>0</v>
      </c>
      <c r="E397" s="40">
        <v>0</v>
      </c>
      <c r="F397" s="40">
        <v>0</v>
      </c>
      <c r="G397" s="40">
        <v>0</v>
      </c>
      <c r="H397" s="58">
        <v>0</v>
      </c>
    </row>
    <row r="398" spans="1:8" ht="16" x14ac:dyDescent="0.2">
      <c r="A398" s="38">
        <v>500893</v>
      </c>
      <c r="B398" s="39" t="s">
        <v>846</v>
      </c>
      <c r="C398" s="39" t="s">
        <v>847</v>
      </c>
      <c r="D398" s="40">
        <v>0</v>
      </c>
      <c r="E398" s="40">
        <v>0</v>
      </c>
      <c r="F398" s="40">
        <v>0</v>
      </c>
      <c r="G398" s="40">
        <v>0</v>
      </c>
      <c r="H398" s="58">
        <v>0</v>
      </c>
    </row>
    <row r="399" spans="1:8" ht="16" x14ac:dyDescent="0.2">
      <c r="A399" s="38">
        <v>500899</v>
      </c>
      <c r="B399" s="39" t="s">
        <v>848</v>
      </c>
      <c r="C399" s="39" t="s">
        <v>849</v>
      </c>
      <c r="D399" s="40">
        <v>0</v>
      </c>
      <c r="E399" s="40">
        <v>0</v>
      </c>
      <c r="F399" s="40">
        <v>0</v>
      </c>
      <c r="G399" s="40">
        <v>0</v>
      </c>
      <c r="H399" s="58">
        <v>0</v>
      </c>
    </row>
    <row r="400" spans="1:8" ht="16" x14ac:dyDescent="0.2">
      <c r="A400" s="38">
        <v>500896</v>
      </c>
      <c r="B400" s="39" t="s">
        <v>850</v>
      </c>
      <c r="C400" s="39" t="s">
        <v>851</v>
      </c>
      <c r="D400" s="40">
        <v>0</v>
      </c>
      <c r="E400" s="40">
        <v>0</v>
      </c>
      <c r="F400" s="40">
        <v>0</v>
      </c>
      <c r="G400" s="40">
        <v>0</v>
      </c>
      <c r="H400" s="58">
        <v>0</v>
      </c>
    </row>
    <row r="401" spans="1:8" ht="16" x14ac:dyDescent="0.2">
      <c r="A401" s="38">
        <v>500898</v>
      </c>
      <c r="B401" s="39" t="s">
        <v>852</v>
      </c>
      <c r="C401" s="39" t="s">
        <v>853</v>
      </c>
      <c r="D401" s="40">
        <v>0</v>
      </c>
      <c r="E401" s="40">
        <v>0</v>
      </c>
      <c r="F401" s="40">
        <v>0</v>
      </c>
      <c r="G401" s="40">
        <v>0</v>
      </c>
      <c r="H401" s="58">
        <v>0</v>
      </c>
    </row>
    <row r="402" spans="1:8" ht="16" x14ac:dyDescent="0.2">
      <c r="A402" s="38">
        <v>500892</v>
      </c>
      <c r="B402" s="39" t="s">
        <v>854</v>
      </c>
      <c r="C402" s="39" t="s">
        <v>855</v>
      </c>
      <c r="D402" s="40">
        <v>0</v>
      </c>
      <c r="E402" s="40">
        <v>0</v>
      </c>
      <c r="F402" s="40">
        <v>0</v>
      </c>
      <c r="G402" s="40">
        <v>0</v>
      </c>
      <c r="H402" s="58">
        <v>0</v>
      </c>
    </row>
    <row r="403" spans="1:8" ht="16" x14ac:dyDescent="0.2">
      <c r="A403" s="38">
        <v>500894</v>
      </c>
      <c r="B403" s="39" t="s">
        <v>856</v>
      </c>
      <c r="C403" s="39" t="s">
        <v>857</v>
      </c>
      <c r="D403" s="40">
        <v>0</v>
      </c>
      <c r="E403" s="40">
        <v>0</v>
      </c>
      <c r="F403" s="40">
        <v>0</v>
      </c>
      <c r="G403" s="40">
        <v>0</v>
      </c>
      <c r="H403" s="58">
        <v>0</v>
      </c>
    </row>
    <row r="404" spans="1:8" ht="16" x14ac:dyDescent="0.2">
      <c r="A404" s="38">
        <v>500997</v>
      </c>
      <c r="B404" s="39" t="s">
        <v>858</v>
      </c>
      <c r="C404" s="39" t="s">
        <v>859</v>
      </c>
      <c r="D404" s="40">
        <v>5215.95</v>
      </c>
      <c r="E404" s="40">
        <v>5209.2</v>
      </c>
      <c r="F404" s="40">
        <v>5214.6000000000004</v>
      </c>
      <c r="G404" s="40">
        <v>0</v>
      </c>
      <c r="H404" s="58">
        <v>0</v>
      </c>
    </row>
    <row r="405" spans="1:8" ht="16" x14ac:dyDescent="0.2">
      <c r="A405" s="38">
        <v>501077</v>
      </c>
      <c r="B405" s="39" t="s">
        <v>860</v>
      </c>
      <c r="C405" s="39" t="s">
        <v>861</v>
      </c>
      <c r="D405" s="40">
        <v>61.548749999999998</v>
      </c>
      <c r="E405" s="40">
        <v>62.234999999999999</v>
      </c>
      <c r="F405" s="40">
        <v>62.91</v>
      </c>
      <c r="G405" s="40">
        <v>0</v>
      </c>
      <c r="H405" s="58">
        <v>0</v>
      </c>
    </row>
    <row r="406" spans="1:8" ht="16" x14ac:dyDescent="0.2">
      <c r="A406" s="41">
        <v>500149</v>
      </c>
      <c r="B406" s="39" t="s">
        <v>862</v>
      </c>
      <c r="C406" s="39" t="s">
        <v>863</v>
      </c>
      <c r="D406" s="40">
        <v>0</v>
      </c>
      <c r="E406" s="40">
        <v>0</v>
      </c>
      <c r="F406" s="40">
        <v>0</v>
      </c>
      <c r="G406" s="40">
        <v>0</v>
      </c>
      <c r="H406" s="58">
        <v>0</v>
      </c>
    </row>
    <row r="407" spans="1:8" ht="16" x14ac:dyDescent="0.2">
      <c r="A407" s="41">
        <v>500156</v>
      </c>
      <c r="B407" s="39" t="s">
        <v>864</v>
      </c>
      <c r="C407" s="39" t="s">
        <v>865</v>
      </c>
      <c r="D407" s="40">
        <v>0</v>
      </c>
      <c r="E407" s="40">
        <v>0</v>
      </c>
      <c r="F407" s="40">
        <v>0</v>
      </c>
      <c r="G407" s="40">
        <v>0</v>
      </c>
      <c r="H407" s="58">
        <v>0</v>
      </c>
    </row>
    <row r="408" spans="1:8" ht="16" x14ac:dyDescent="0.2">
      <c r="A408" s="41">
        <v>500157</v>
      </c>
      <c r="B408" s="39" t="s">
        <v>866</v>
      </c>
      <c r="C408" s="39" t="s">
        <v>867</v>
      </c>
      <c r="D408" s="40">
        <v>0</v>
      </c>
      <c r="E408" s="40">
        <v>0</v>
      </c>
      <c r="F408" s="40">
        <v>0</v>
      </c>
      <c r="G408" s="40">
        <v>0</v>
      </c>
      <c r="H408" s="58">
        <v>0</v>
      </c>
    </row>
    <row r="409" spans="1:8" ht="16" x14ac:dyDescent="0.2">
      <c r="A409" s="41">
        <v>500158</v>
      </c>
      <c r="B409" s="39" t="s">
        <v>868</v>
      </c>
      <c r="C409" s="39" t="s">
        <v>869</v>
      </c>
      <c r="D409" s="40">
        <v>0</v>
      </c>
      <c r="E409" s="40">
        <v>0</v>
      </c>
      <c r="F409" s="40">
        <v>0</v>
      </c>
      <c r="G409" s="40">
        <v>0</v>
      </c>
      <c r="H409" s="58">
        <v>0</v>
      </c>
    </row>
    <row r="410" spans="1:8" ht="16" x14ac:dyDescent="0.2">
      <c r="A410" s="41">
        <v>500159</v>
      </c>
      <c r="B410" s="39" t="s">
        <v>870</v>
      </c>
      <c r="C410" s="39" t="s">
        <v>871</v>
      </c>
      <c r="D410" s="40">
        <v>0</v>
      </c>
      <c r="E410" s="40">
        <v>0</v>
      </c>
      <c r="F410" s="40">
        <v>0</v>
      </c>
      <c r="G410" s="40">
        <v>0</v>
      </c>
      <c r="H410" s="58">
        <v>0</v>
      </c>
    </row>
    <row r="411" spans="1:8" ht="16" x14ac:dyDescent="0.2">
      <c r="A411" s="41">
        <v>500816</v>
      </c>
      <c r="B411" s="39" t="s">
        <v>872</v>
      </c>
      <c r="C411" s="39" t="s">
        <v>873</v>
      </c>
      <c r="D411" s="40">
        <v>0</v>
      </c>
      <c r="E411" s="40">
        <v>0</v>
      </c>
      <c r="F411" s="40">
        <v>0</v>
      </c>
      <c r="G411" s="40">
        <v>0</v>
      </c>
      <c r="H411" s="58">
        <v>0</v>
      </c>
    </row>
    <row r="412" spans="1:8" ht="16" x14ac:dyDescent="0.2">
      <c r="A412" s="46">
        <v>500928</v>
      </c>
      <c r="B412" s="42" t="s">
        <v>874</v>
      </c>
      <c r="C412" s="42" t="s">
        <v>875</v>
      </c>
      <c r="D412" s="45">
        <v>0</v>
      </c>
      <c r="E412" s="45">
        <v>0</v>
      </c>
      <c r="F412" s="45">
        <v>0</v>
      </c>
      <c r="G412" s="45">
        <v>0</v>
      </c>
      <c r="H412" s="60">
        <v>0</v>
      </c>
    </row>
    <row r="413" spans="1:8" ht="16" x14ac:dyDescent="0.2">
      <c r="A413" s="44">
        <v>500164</v>
      </c>
      <c r="B413" s="42" t="s">
        <v>876</v>
      </c>
      <c r="C413" s="42" t="s">
        <v>877</v>
      </c>
      <c r="D413" s="45">
        <v>0</v>
      </c>
      <c r="E413" s="45">
        <v>0</v>
      </c>
      <c r="F413" s="45">
        <v>0</v>
      </c>
      <c r="G413" s="45">
        <v>0</v>
      </c>
      <c r="H413" s="60">
        <v>0</v>
      </c>
    </row>
    <row r="414" spans="1:8" ht="16" x14ac:dyDescent="0.2">
      <c r="A414" s="44">
        <v>500309</v>
      </c>
      <c r="B414" s="42" t="s">
        <v>878</v>
      </c>
      <c r="C414" s="42" t="s">
        <v>879</v>
      </c>
      <c r="D414" s="45">
        <v>0</v>
      </c>
      <c r="E414" s="45">
        <v>0</v>
      </c>
      <c r="F414" s="45">
        <v>0</v>
      </c>
      <c r="G414" s="45">
        <v>0</v>
      </c>
      <c r="H414" s="60">
        <v>0</v>
      </c>
    </row>
    <row r="415" spans="1:8" ht="16" x14ac:dyDescent="0.2">
      <c r="A415" s="44">
        <v>500804</v>
      </c>
      <c r="B415" s="42" t="s">
        <v>880</v>
      </c>
      <c r="C415" s="42" t="s">
        <v>881</v>
      </c>
      <c r="D415" s="45">
        <v>27.481200000000001</v>
      </c>
      <c r="E415" s="45">
        <v>18.040280000000003</v>
      </c>
      <c r="F415" s="45">
        <v>0</v>
      </c>
      <c r="G415" s="45">
        <v>0</v>
      </c>
      <c r="H415" s="60">
        <v>0</v>
      </c>
    </row>
    <row r="416" spans="1:8" ht="16" x14ac:dyDescent="0.2">
      <c r="A416" s="44">
        <v>500841</v>
      </c>
      <c r="B416" s="42" t="s">
        <v>882</v>
      </c>
      <c r="C416" s="42" t="s">
        <v>883</v>
      </c>
      <c r="D416" s="45">
        <v>50.814050000000002</v>
      </c>
      <c r="E416" s="45">
        <v>6.31785</v>
      </c>
      <c r="F416" s="45">
        <v>0</v>
      </c>
      <c r="G416" s="45">
        <v>0</v>
      </c>
      <c r="H416" s="60">
        <v>0</v>
      </c>
    </row>
    <row r="417" spans="1:8" ht="16" x14ac:dyDescent="0.2">
      <c r="A417" s="44">
        <v>500840</v>
      </c>
      <c r="B417" s="42" t="s">
        <v>884</v>
      </c>
      <c r="C417" s="42" t="s">
        <v>885</v>
      </c>
      <c r="D417" s="45">
        <v>45.377459999999999</v>
      </c>
      <c r="E417" s="45">
        <v>6.0504499999999997</v>
      </c>
      <c r="F417" s="45">
        <v>0</v>
      </c>
      <c r="G417" s="45">
        <v>0</v>
      </c>
      <c r="H417" s="60">
        <v>0</v>
      </c>
    </row>
    <row r="418" spans="1:8" ht="16" x14ac:dyDescent="0.2">
      <c r="A418" s="44">
        <v>500885</v>
      </c>
      <c r="B418" s="42" t="s">
        <v>886</v>
      </c>
      <c r="C418" s="42" t="s">
        <v>887</v>
      </c>
      <c r="D418" s="45">
        <v>0</v>
      </c>
      <c r="E418" s="45">
        <v>0</v>
      </c>
      <c r="F418" s="45">
        <v>0</v>
      </c>
      <c r="G418" s="45">
        <v>0</v>
      </c>
      <c r="H418" s="60">
        <v>0</v>
      </c>
    </row>
    <row r="419" spans="1:8" ht="16" x14ac:dyDescent="0.2">
      <c r="A419" s="44">
        <v>500642</v>
      </c>
      <c r="B419" s="42" t="s">
        <v>888</v>
      </c>
      <c r="C419" s="42" t="s">
        <v>889</v>
      </c>
      <c r="D419" s="45">
        <v>0</v>
      </c>
      <c r="E419" s="45">
        <v>0</v>
      </c>
      <c r="F419" s="45">
        <v>0</v>
      </c>
      <c r="G419" s="45">
        <v>0</v>
      </c>
      <c r="H419" s="60">
        <v>0</v>
      </c>
    </row>
    <row r="420" spans="1:8" ht="16" x14ac:dyDescent="0.2">
      <c r="A420" s="46">
        <v>500959</v>
      </c>
      <c r="B420" s="42" t="s">
        <v>890</v>
      </c>
      <c r="C420" s="42" t="s">
        <v>891</v>
      </c>
      <c r="D420" s="45">
        <v>0</v>
      </c>
      <c r="E420" s="45">
        <v>0</v>
      </c>
      <c r="F420" s="45">
        <v>0</v>
      </c>
      <c r="G420" s="45">
        <v>0</v>
      </c>
      <c r="H420" s="60">
        <v>0</v>
      </c>
    </row>
    <row r="421" spans="1:8" ht="16" x14ac:dyDescent="0.2">
      <c r="A421" s="44">
        <v>500865</v>
      </c>
      <c r="B421" s="42" t="s">
        <v>892</v>
      </c>
      <c r="C421" s="42" t="s">
        <v>893</v>
      </c>
      <c r="D421" s="45">
        <v>17.8262</v>
      </c>
      <c r="E421" s="45">
        <v>0.245</v>
      </c>
      <c r="F421" s="45">
        <v>0</v>
      </c>
      <c r="G421" s="45">
        <v>0</v>
      </c>
      <c r="H421" s="60">
        <v>0</v>
      </c>
    </row>
    <row r="422" spans="1:8" ht="16" x14ac:dyDescent="0.2">
      <c r="A422" s="44">
        <v>500639</v>
      </c>
      <c r="B422" s="42" t="s">
        <v>894</v>
      </c>
      <c r="C422" s="42" t="s">
        <v>895</v>
      </c>
      <c r="D422" s="45">
        <v>2.13</v>
      </c>
      <c r="E422" s="45">
        <v>0.26</v>
      </c>
      <c r="F422" s="45">
        <v>0.7</v>
      </c>
      <c r="G422" s="45">
        <v>0.2</v>
      </c>
      <c r="H422" s="60">
        <v>0</v>
      </c>
    </row>
    <row r="423" spans="1:8" ht="16" x14ac:dyDescent="0.2">
      <c r="A423" s="46">
        <v>500930</v>
      </c>
      <c r="B423" s="42" t="s">
        <v>896</v>
      </c>
      <c r="C423" s="42" t="s">
        <v>897</v>
      </c>
      <c r="D423" s="45">
        <v>0</v>
      </c>
      <c r="E423" s="45">
        <v>0</v>
      </c>
      <c r="F423" s="45">
        <v>0</v>
      </c>
      <c r="G423" s="45">
        <v>0</v>
      </c>
      <c r="H423" s="60">
        <v>0</v>
      </c>
    </row>
    <row r="424" spans="1:8" ht="16" x14ac:dyDescent="0.2">
      <c r="A424" s="46">
        <v>500926</v>
      </c>
      <c r="B424" s="42" t="s">
        <v>898</v>
      </c>
      <c r="C424" s="42" t="s">
        <v>899</v>
      </c>
      <c r="D424" s="45">
        <v>0</v>
      </c>
      <c r="E424" s="45">
        <v>0</v>
      </c>
      <c r="F424" s="45">
        <v>0</v>
      </c>
      <c r="G424" s="45">
        <v>0</v>
      </c>
      <c r="H424" s="60">
        <v>0</v>
      </c>
    </row>
    <row r="425" spans="1:8" ht="16" x14ac:dyDescent="0.2">
      <c r="A425" s="44">
        <v>500308</v>
      </c>
      <c r="B425" s="42" t="s">
        <v>900</v>
      </c>
      <c r="C425" s="42" t="s">
        <v>901</v>
      </c>
      <c r="D425" s="45">
        <v>0</v>
      </c>
      <c r="E425" s="45">
        <v>0</v>
      </c>
      <c r="F425" s="45">
        <v>0</v>
      </c>
      <c r="G425" s="45">
        <v>0</v>
      </c>
      <c r="H425" s="60">
        <v>0</v>
      </c>
    </row>
    <row r="426" spans="1:8" ht="16" x14ac:dyDescent="0.2">
      <c r="A426" s="46">
        <v>500929</v>
      </c>
      <c r="B426" s="42" t="s">
        <v>902</v>
      </c>
      <c r="C426" s="42" t="s">
        <v>903</v>
      </c>
      <c r="D426" s="45">
        <v>0</v>
      </c>
      <c r="E426" s="45">
        <v>0</v>
      </c>
      <c r="F426" s="45">
        <v>0</v>
      </c>
      <c r="G426" s="45">
        <v>0</v>
      </c>
      <c r="H426" s="60">
        <v>0</v>
      </c>
    </row>
    <row r="427" spans="1:8" ht="16" x14ac:dyDescent="0.2">
      <c r="A427" s="46">
        <v>500971</v>
      </c>
      <c r="B427" s="42" t="s">
        <v>904</v>
      </c>
      <c r="C427" s="42" t="s">
        <v>905</v>
      </c>
      <c r="D427" s="45">
        <v>13.93707</v>
      </c>
      <c r="E427" s="45">
        <v>9.7968799999999998</v>
      </c>
      <c r="F427" s="45">
        <v>0.29449999999999998</v>
      </c>
      <c r="G427" s="45">
        <v>0</v>
      </c>
      <c r="H427" s="60">
        <v>0</v>
      </c>
    </row>
    <row r="428" spans="1:8" ht="16" x14ac:dyDescent="0.2">
      <c r="A428" s="46">
        <v>500925</v>
      </c>
      <c r="B428" s="42" t="s">
        <v>906</v>
      </c>
      <c r="C428" s="42" t="s">
        <v>907</v>
      </c>
      <c r="D428" s="45">
        <v>0</v>
      </c>
      <c r="E428" s="45">
        <v>0</v>
      </c>
      <c r="F428" s="45">
        <v>0</v>
      </c>
      <c r="G428" s="45">
        <v>0</v>
      </c>
      <c r="H428" s="60">
        <v>0</v>
      </c>
    </row>
    <row r="429" spans="1:8" ht="16" x14ac:dyDescent="0.2">
      <c r="A429" s="46">
        <v>500988</v>
      </c>
      <c r="B429" s="42" t="s">
        <v>908</v>
      </c>
      <c r="C429" s="42" t="s">
        <v>909</v>
      </c>
      <c r="D429" s="45">
        <v>0</v>
      </c>
      <c r="E429" s="45">
        <v>0</v>
      </c>
      <c r="F429" s="45">
        <v>0</v>
      </c>
      <c r="G429" s="45">
        <v>0</v>
      </c>
      <c r="H429" s="60">
        <v>0</v>
      </c>
    </row>
    <row r="430" spans="1:8" ht="16" x14ac:dyDescent="0.2">
      <c r="A430" s="44">
        <v>500919</v>
      </c>
      <c r="B430" s="42" t="s">
        <v>910</v>
      </c>
      <c r="C430" s="42" t="s">
        <v>911</v>
      </c>
      <c r="D430" s="45">
        <v>0</v>
      </c>
      <c r="E430" s="45">
        <v>0</v>
      </c>
      <c r="F430" s="45">
        <v>0</v>
      </c>
      <c r="G430" s="45">
        <v>0</v>
      </c>
      <c r="H430" s="60">
        <v>0</v>
      </c>
    </row>
    <row r="431" spans="1:8" ht="16" x14ac:dyDescent="0.2">
      <c r="A431" s="44">
        <v>500864</v>
      </c>
      <c r="B431" s="42" t="s">
        <v>912</v>
      </c>
      <c r="C431" s="42" t="s">
        <v>913</v>
      </c>
      <c r="D431" s="45">
        <v>7.2218299999999997</v>
      </c>
      <c r="E431" s="45">
        <v>0.3705</v>
      </c>
      <c r="F431" s="45">
        <v>0</v>
      </c>
      <c r="G431" s="45">
        <v>0</v>
      </c>
      <c r="H431" s="60">
        <v>0</v>
      </c>
    </row>
    <row r="432" spans="1:8" ht="16" x14ac:dyDescent="0.2">
      <c r="A432" s="44">
        <v>500025</v>
      </c>
      <c r="B432" s="42" t="s">
        <v>914</v>
      </c>
      <c r="C432" s="42" t="s">
        <v>915</v>
      </c>
      <c r="D432" s="45">
        <v>4.6491600000000002</v>
      </c>
      <c r="E432" s="45">
        <v>4.087320000000001</v>
      </c>
      <c r="F432" s="45">
        <v>0</v>
      </c>
      <c r="G432" s="45">
        <v>0</v>
      </c>
      <c r="H432" s="60">
        <v>0</v>
      </c>
    </row>
    <row r="433" spans="1:8" ht="16" x14ac:dyDescent="0.2">
      <c r="A433" s="44">
        <v>500731</v>
      </c>
      <c r="B433" s="42" t="s">
        <v>916</v>
      </c>
      <c r="C433" s="42" t="s">
        <v>917</v>
      </c>
      <c r="D433" s="45">
        <v>0</v>
      </c>
      <c r="E433" s="45">
        <v>0</v>
      </c>
      <c r="F433" s="45">
        <v>0</v>
      </c>
      <c r="G433" s="45">
        <v>0</v>
      </c>
      <c r="H433" s="60">
        <v>0</v>
      </c>
    </row>
    <row r="434" spans="1:8" ht="32" x14ac:dyDescent="0.2">
      <c r="A434" s="44">
        <v>500109</v>
      </c>
      <c r="B434" s="42" t="s">
        <v>918</v>
      </c>
      <c r="C434" s="42" t="s">
        <v>919</v>
      </c>
      <c r="D434" s="45">
        <v>0</v>
      </c>
      <c r="E434" s="45">
        <v>0</v>
      </c>
      <c r="F434" s="45">
        <v>0</v>
      </c>
      <c r="G434" s="45">
        <v>0</v>
      </c>
      <c r="H434" s="60">
        <v>0</v>
      </c>
    </row>
    <row r="435" spans="1:8" ht="16" x14ac:dyDescent="0.2">
      <c r="A435" s="44">
        <v>500856</v>
      </c>
      <c r="B435" s="42" t="s">
        <v>920</v>
      </c>
      <c r="C435" s="42" t="s">
        <v>921</v>
      </c>
      <c r="D435" s="45">
        <v>0</v>
      </c>
      <c r="E435" s="45">
        <v>0</v>
      </c>
      <c r="F435" s="45">
        <v>0</v>
      </c>
      <c r="G435" s="45">
        <v>0</v>
      </c>
      <c r="H435" s="60">
        <v>0</v>
      </c>
    </row>
    <row r="436" spans="1:8" ht="16" x14ac:dyDescent="0.2">
      <c r="A436" s="46">
        <v>500964</v>
      </c>
      <c r="B436" s="42" t="s">
        <v>922</v>
      </c>
      <c r="C436" s="42" t="s">
        <v>923</v>
      </c>
      <c r="D436" s="45">
        <v>2.7008000000000001</v>
      </c>
      <c r="E436" s="45">
        <v>2.1568000000000001</v>
      </c>
      <c r="F436" s="45">
        <v>1.9488000000000001</v>
      </c>
      <c r="G436" s="45">
        <v>0.24</v>
      </c>
      <c r="H436" s="60">
        <v>0</v>
      </c>
    </row>
    <row r="437" spans="1:8" ht="16" x14ac:dyDescent="0.2">
      <c r="A437" s="44">
        <v>500206</v>
      </c>
      <c r="B437" s="42" t="s">
        <v>924</v>
      </c>
      <c r="C437" s="42" t="s">
        <v>925</v>
      </c>
      <c r="D437" s="45">
        <v>0.42</v>
      </c>
      <c r="E437" s="45">
        <v>0</v>
      </c>
      <c r="F437" s="45">
        <v>0</v>
      </c>
      <c r="G437" s="45">
        <v>0</v>
      </c>
      <c r="H437" s="60">
        <v>0</v>
      </c>
    </row>
    <row r="438" spans="1:8" ht="16" x14ac:dyDescent="0.2">
      <c r="A438" s="44">
        <v>500216</v>
      </c>
      <c r="B438" s="42" t="s">
        <v>926</v>
      </c>
      <c r="C438" s="42" t="s">
        <v>927</v>
      </c>
      <c r="D438" s="45">
        <v>0.74879999999999991</v>
      </c>
      <c r="E438" s="45">
        <v>0</v>
      </c>
      <c r="F438" s="45">
        <v>0</v>
      </c>
      <c r="G438" s="45">
        <v>0</v>
      </c>
      <c r="H438" s="60">
        <v>0</v>
      </c>
    </row>
    <row r="439" spans="1:8" ht="16" x14ac:dyDescent="0.2">
      <c r="A439" s="44">
        <v>500866</v>
      </c>
      <c r="B439" s="42" t="s">
        <v>928</v>
      </c>
      <c r="C439" s="42" t="s">
        <v>929</v>
      </c>
      <c r="D439" s="45">
        <v>0</v>
      </c>
      <c r="E439" s="45">
        <v>0</v>
      </c>
      <c r="F439" s="45">
        <v>0</v>
      </c>
      <c r="G439" s="45">
        <v>0</v>
      </c>
      <c r="H439" s="60">
        <v>0</v>
      </c>
    </row>
    <row r="440" spans="1:8" ht="16" x14ac:dyDescent="0.2">
      <c r="A440" s="44">
        <v>500721</v>
      </c>
      <c r="B440" s="42" t="s">
        <v>930</v>
      </c>
      <c r="C440" s="42" t="s">
        <v>931</v>
      </c>
      <c r="D440" s="45">
        <v>4.01356</v>
      </c>
      <c r="E440" s="45">
        <v>0</v>
      </c>
      <c r="F440" s="45">
        <v>0</v>
      </c>
      <c r="G440" s="45">
        <v>0</v>
      </c>
      <c r="H440" s="60">
        <v>0</v>
      </c>
    </row>
    <row r="441" spans="1:8" ht="16" x14ac:dyDescent="0.2">
      <c r="A441" s="44">
        <v>500208</v>
      </c>
      <c r="B441" s="42" t="s">
        <v>932</v>
      </c>
      <c r="C441" s="42" t="s">
        <v>933</v>
      </c>
      <c r="D441" s="45">
        <v>0.57599999999999996</v>
      </c>
      <c r="E441" s="45">
        <v>0</v>
      </c>
      <c r="F441" s="45">
        <v>0</v>
      </c>
      <c r="G441" s="45">
        <v>0</v>
      </c>
      <c r="H441" s="60">
        <v>0</v>
      </c>
    </row>
    <row r="442" spans="1:8" ht="16" x14ac:dyDescent="0.2">
      <c r="A442" s="46">
        <v>500946</v>
      </c>
      <c r="B442" s="42" t="s">
        <v>934</v>
      </c>
      <c r="C442" s="42" t="s">
        <v>935</v>
      </c>
      <c r="D442" s="45">
        <v>0.31208000000000002</v>
      </c>
      <c r="E442" s="45">
        <v>0</v>
      </c>
      <c r="F442" s="45">
        <v>0</v>
      </c>
      <c r="G442" s="45">
        <v>0</v>
      </c>
      <c r="H442" s="60">
        <v>0</v>
      </c>
    </row>
    <row r="443" spans="1:8" ht="16" x14ac:dyDescent="0.2">
      <c r="A443" s="44">
        <v>500214</v>
      </c>
      <c r="B443" s="42" t="s">
        <v>936</v>
      </c>
      <c r="C443" s="42" t="s">
        <v>937</v>
      </c>
      <c r="D443" s="45">
        <v>0.246</v>
      </c>
      <c r="E443" s="45">
        <v>0</v>
      </c>
      <c r="F443" s="45">
        <v>0</v>
      </c>
      <c r="G443" s="45">
        <v>0</v>
      </c>
      <c r="H443" s="60">
        <v>0</v>
      </c>
    </row>
    <row r="444" spans="1:8" ht="16" x14ac:dyDescent="0.2">
      <c r="A444" s="44">
        <v>500215</v>
      </c>
      <c r="B444" s="42" t="s">
        <v>938</v>
      </c>
      <c r="C444" s="42" t="s">
        <v>939</v>
      </c>
      <c r="D444" s="45">
        <v>0.216</v>
      </c>
      <c r="E444" s="45">
        <v>0</v>
      </c>
      <c r="F444" s="45">
        <v>0</v>
      </c>
      <c r="G444" s="45">
        <v>6.1200000000000004E-2</v>
      </c>
      <c r="H444" s="60">
        <v>0</v>
      </c>
    </row>
    <row r="445" spans="1:8" ht="16" x14ac:dyDescent="0.2">
      <c r="A445" s="46">
        <v>500950</v>
      </c>
      <c r="B445" s="42" t="s">
        <v>940</v>
      </c>
      <c r="C445" s="42" t="s">
        <v>941</v>
      </c>
      <c r="D445" s="45">
        <v>0</v>
      </c>
      <c r="E445" s="45">
        <v>0</v>
      </c>
      <c r="F445" s="45">
        <v>0</v>
      </c>
      <c r="G445" s="45">
        <v>0</v>
      </c>
      <c r="H445" s="60">
        <v>0</v>
      </c>
    </row>
    <row r="446" spans="1:8" ht="16" x14ac:dyDescent="0.2">
      <c r="A446" s="44">
        <v>500688</v>
      </c>
      <c r="B446" s="42" t="s">
        <v>942</v>
      </c>
      <c r="C446" s="42" t="s">
        <v>943</v>
      </c>
      <c r="D446" s="45">
        <v>0</v>
      </c>
      <c r="E446" s="45">
        <v>0</v>
      </c>
      <c r="F446" s="45">
        <v>0</v>
      </c>
      <c r="G446" s="45">
        <v>0</v>
      </c>
      <c r="H446" s="60">
        <v>0</v>
      </c>
    </row>
    <row r="447" spans="1:8" ht="16" x14ac:dyDescent="0.2">
      <c r="A447" s="44">
        <v>500180</v>
      </c>
      <c r="B447" s="42" t="s">
        <v>944</v>
      </c>
      <c r="C447" s="42" t="s">
        <v>945</v>
      </c>
      <c r="D447" s="45">
        <v>0</v>
      </c>
      <c r="E447" s="45">
        <v>0</v>
      </c>
      <c r="F447" s="45">
        <v>0</v>
      </c>
      <c r="G447" s="45">
        <v>0</v>
      </c>
      <c r="H447" s="60">
        <v>0</v>
      </c>
    </row>
    <row r="448" spans="1:8" ht="16" x14ac:dyDescent="0.2">
      <c r="A448" s="44">
        <v>500819</v>
      </c>
      <c r="B448" s="42" t="s">
        <v>946</v>
      </c>
      <c r="C448" s="42" t="s">
        <v>947</v>
      </c>
      <c r="D448" s="45">
        <v>0</v>
      </c>
      <c r="E448" s="45">
        <v>0</v>
      </c>
      <c r="F448" s="45">
        <v>0</v>
      </c>
      <c r="G448" s="45">
        <v>0</v>
      </c>
      <c r="H448" s="60">
        <v>0</v>
      </c>
    </row>
    <row r="449" spans="1:8" ht="16" x14ac:dyDescent="0.2">
      <c r="A449" s="44">
        <v>500185</v>
      </c>
      <c r="B449" s="42" t="s">
        <v>948</v>
      </c>
      <c r="C449" s="42" t="s">
        <v>949</v>
      </c>
      <c r="D449" s="45">
        <v>0</v>
      </c>
      <c r="E449" s="45">
        <v>0</v>
      </c>
      <c r="F449" s="45">
        <v>0</v>
      </c>
      <c r="G449" s="45">
        <v>0</v>
      </c>
      <c r="H449" s="60">
        <v>0</v>
      </c>
    </row>
    <row r="450" spans="1:8" ht="16" x14ac:dyDescent="0.2">
      <c r="A450" s="44">
        <v>500172</v>
      </c>
      <c r="B450" s="42" t="s">
        <v>950</v>
      </c>
      <c r="C450" s="42" t="s">
        <v>951</v>
      </c>
      <c r="D450" s="45">
        <v>0</v>
      </c>
      <c r="E450" s="45">
        <v>0</v>
      </c>
      <c r="F450" s="45">
        <v>0</v>
      </c>
      <c r="G450" s="45">
        <v>0</v>
      </c>
      <c r="H450" s="60">
        <v>0</v>
      </c>
    </row>
    <row r="451" spans="1:8" ht="16" x14ac:dyDescent="0.2">
      <c r="A451" s="44">
        <v>500035</v>
      </c>
      <c r="B451" s="42" t="s">
        <v>952</v>
      </c>
      <c r="C451" s="42" t="s">
        <v>953</v>
      </c>
      <c r="D451" s="45">
        <v>0</v>
      </c>
      <c r="E451" s="45">
        <v>0</v>
      </c>
      <c r="F451" s="45">
        <v>0</v>
      </c>
      <c r="G451" s="45">
        <v>0</v>
      </c>
      <c r="H451" s="60">
        <v>0</v>
      </c>
    </row>
    <row r="452" spans="1:8" ht="16" x14ac:dyDescent="0.2">
      <c r="A452" s="44">
        <v>500845</v>
      </c>
      <c r="B452" s="42" t="s">
        <v>954</v>
      </c>
      <c r="C452" s="42" t="s">
        <v>955</v>
      </c>
      <c r="D452" s="45">
        <v>0</v>
      </c>
      <c r="E452" s="45">
        <v>0</v>
      </c>
      <c r="F452" s="45">
        <v>0</v>
      </c>
      <c r="G452" s="45">
        <v>0</v>
      </c>
      <c r="H452" s="60">
        <v>0</v>
      </c>
    </row>
    <row r="453" spans="1:8" ht="16" x14ac:dyDescent="0.2">
      <c r="A453" s="44">
        <v>500821</v>
      </c>
      <c r="B453" s="42" t="s">
        <v>956</v>
      </c>
      <c r="C453" s="42" t="s">
        <v>957</v>
      </c>
      <c r="D453" s="45">
        <v>0</v>
      </c>
      <c r="E453" s="45">
        <v>0</v>
      </c>
      <c r="F453" s="45">
        <v>0</v>
      </c>
      <c r="G453" s="45">
        <v>0</v>
      </c>
      <c r="H453" s="60">
        <v>0</v>
      </c>
    </row>
    <row r="454" spans="1:8" ht="16" x14ac:dyDescent="0.2">
      <c r="A454" s="44">
        <v>500818</v>
      </c>
      <c r="B454" s="42" t="s">
        <v>958</v>
      </c>
      <c r="C454" s="42" t="s">
        <v>959</v>
      </c>
      <c r="D454" s="45">
        <v>0</v>
      </c>
      <c r="E454" s="45">
        <v>0</v>
      </c>
      <c r="F454" s="45">
        <v>0</v>
      </c>
      <c r="G454" s="45">
        <v>0</v>
      </c>
      <c r="H454" s="60">
        <v>0</v>
      </c>
    </row>
    <row r="455" spans="1:8" ht="16" x14ac:dyDescent="0.2">
      <c r="A455" s="44">
        <v>500822</v>
      </c>
      <c r="B455" s="42" t="s">
        <v>960</v>
      </c>
      <c r="C455" s="42" t="s">
        <v>961</v>
      </c>
      <c r="D455" s="45">
        <v>0</v>
      </c>
      <c r="E455" s="45">
        <v>0</v>
      </c>
      <c r="F455" s="45">
        <v>0</v>
      </c>
      <c r="G455" s="45">
        <v>0</v>
      </c>
      <c r="H455" s="60">
        <v>0</v>
      </c>
    </row>
    <row r="456" spans="1:8" ht="16" x14ac:dyDescent="0.2">
      <c r="A456" s="44">
        <v>500130</v>
      </c>
      <c r="B456" s="42" t="s">
        <v>962</v>
      </c>
      <c r="C456" s="42" t="s">
        <v>963</v>
      </c>
      <c r="D456" s="45">
        <v>0</v>
      </c>
      <c r="E456" s="45">
        <v>0</v>
      </c>
      <c r="F456" s="45">
        <v>0</v>
      </c>
      <c r="G456" s="45">
        <v>0</v>
      </c>
      <c r="H456" s="60">
        <v>0</v>
      </c>
    </row>
    <row r="457" spans="1:8" ht="16" x14ac:dyDescent="0.2">
      <c r="A457" s="44">
        <v>500817</v>
      </c>
      <c r="B457" s="42" t="s">
        <v>964</v>
      </c>
      <c r="C457" s="42" t="s">
        <v>965</v>
      </c>
      <c r="D457" s="45">
        <v>0</v>
      </c>
      <c r="E457" s="45">
        <v>0</v>
      </c>
      <c r="F457" s="45">
        <v>0</v>
      </c>
      <c r="G457" s="45">
        <v>0</v>
      </c>
      <c r="H457" s="60">
        <v>0</v>
      </c>
    </row>
    <row r="458" spans="1:8" ht="16" x14ac:dyDescent="0.2">
      <c r="A458" s="44">
        <v>500823</v>
      </c>
      <c r="B458" s="42" t="s">
        <v>966</v>
      </c>
      <c r="C458" s="42" t="s">
        <v>967</v>
      </c>
      <c r="D458" s="45">
        <v>0</v>
      </c>
      <c r="E458" s="45">
        <v>0</v>
      </c>
      <c r="F458" s="45">
        <v>0</v>
      </c>
      <c r="G458" s="45">
        <v>0</v>
      </c>
      <c r="H458" s="60">
        <v>0</v>
      </c>
    </row>
    <row r="459" spans="1:8" ht="16" x14ac:dyDescent="0.2">
      <c r="A459" s="44">
        <v>500617</v>
      </c>
      <c r="B459" s="42" t="s">
        <v>968</v>
      </c>
      <c r="C459" s="42" t="s">
        <v>969</v>
      </c>
      <c r="D459" s="45">
        <v>0</v>
      </c>
      <c r="E459" s="45">
        <v>0</v>
      </c>
      <c r="F459" s="45">
        <v>0</v>
      </c>
      <c r="G459" s="45">
        <v>0</v>
      </c>
      <c r="H459" s="60">
        <v>0</v>
      </c>
    </row>
    <row r="460" spans="1:8" ht="16" x14ac:dyDescent="0.2">
      <c r="A460" s="44">
        <v>500837</v>
      </c>
      <c r="B460" s="42" t="s">
        <v>970</v>
      </c>
      <c r="C460" s="42" t="s">
        <v>971</v>
      </c>
      <c r="D460" s="45">
        <v>0</v>
      </c>
      <c r="E460" s="45">
        <v>0</v>
      </c>
      <c r="F460" s="45">
        <v>0</v>
      </c>
      <c r="G460" s="45">
        <v>0</v>
      </c>
      <c r="H460" s="60">
        <v>0</v>
      </c>
    </row>
    <row r="461" spans="1:8" ht="16" x14ac:dyDescent="0.2">
      <c r="A461" s="44">
        <v>500138</v>
      </c>
      <c r="B461" s="42" t="s">
        <v>972</v>
      </c>
      <c r="C461" s="42" t="s">
        <v>973</v>
      </c>
      <c r="D461" s="45">
        <v>0</v>
      </c>
      <c r="E461" s="45">
        <v>0</v>
      </c>
      <c r="F461" s="45">
        <v>0</v>
      </c>
      <c r="G461" s="45">
        <v>0</v>
      </c>
      <c r="H461" s="60">
        <v>0</v>
      </c>
    </row>
    <row r="462" spans="1:8" ht="16" x14ac:dyDescent="0.2">
      <c r="A462" s="44">
        <v>500197</v>
      </c>
      <c r="B462" s="42" t="s">
        <v>974</v>
      </c>
      <c r="C462" s="42" t="s">
        <v>975</v>
      </c>
      <c r="D462" s="45">
        <v>0</v>
      </c>
      <c r="E462" s="45">
        <v>0</v>
      </c>
      <c r="F462" s="45">
        <v>0</v>
      </c>
      <c r="G462" s="45">
        <v>0</v>
      </c>
      <c r="H462" s="60">
        <v>0</v>
      </c>
    </row>
    <row r="463" spans="1:8" ht="16" x14ac:dyDescent="0.2">
      <c r="A463" s="44">
        <v>500192</v>
      </c>
      <c r="B463" s="42" t="s">
        <v>976</v>
      </c>
      <c r="C463" s="42" t="s">
        <v>977</v>
      </c>
      <c r="D463" s="45">
        <v>0</v>
      </c>
      <c r="E463" s="45">
        <v>0</v>
      </c>
      <c r="F463" s="45">
        <v>0</v>
      </c>
      <c r="G463" s="45">
        <v>0</v>
      </c>
      <c r="H463" s="60">
        <v>0</v>
      </c>
    </row>
    <row r="464" spans="1:8" ht="16" x14ac:dyDescent="0.2">
      <c r="A464" s="44">
        <v>500666</v>
      </c>
      <c r="B464" s="42" t="s">
        <v>978</v>
      </c>
      <c r="C464" s="42" t="s">
        <v>979</v>
      </c>
      <c r="D464" s="45">
        <v>0</v>
      </c>
      <c r="E464" s="45">
        <v>0</v>
      </c>
      <c r="F464" s="45">
        <v>0</v>
      </c>
      <c r="G464" s="45">
        <v>0</v>
      </c>
      <c r="H464" s="60">
        <v>0</v>
      </c>
    </row>
    <row r="465" spans="1:8" ht="16" x14ac:dyDescent="0.2">
      <c r="A465" s="44">
        <v>500886</v>
      </c>
      <c r="B465" s="42" t="s">
        <v>980</v>
      </c>
      <c r="C465" s="42" t="s">
        <v>981</v>
      </c>
      <c r="D465" s="45">
        <v>0</v>
      </c>
      <c r="E465" s="45">
        <v>0</v>
      </c>
      <c r="F465" s="45">
        <v>0</v>
      </c>
      <c r="G465" s="45">
        <v>0</v>
      </c>
      <c r="H465" s="60">
        <v>0</v>
      </c>
    </row>
    <row r="466" spans="1:8" ht="16" x14ac:dyDescent="0.2">
      <c r="A466" s="44">
        <v>500100</v>
      </c>
      <c r="B466" s="42" t="s">
        <v>982</v>
      </c>
      <c r="C466" s="42" t="s">
        <v>983</v>
      </c>
      <c r="D466" s="45">
        <v>0</v>
      </c>
      <c r="E466" s="45">
        <v>0</v>
      </c>
      <c r="F466" s="45">
        <v>0</v>
      </c>
      <c r="G466" s="45">
        <v>0</v>
      </c>
      <c r="H466" s="60">
        <v>0</v>
      </c>
    </row>
    <row r="467" spans="1:8" ht="16" x14ac:dyDescent="0.2">
      <c r="A467" s="44">
        <v>500850</v>
      </c>
      <c r="B467" s="42" t="s">
        <v>984</v>
      </c>
      <c r="C467" s="42" t="s">
        <v>985</v>
      </c>
      <c r="D467" s="45">
        <v>0</v>
      </c>
      <c r="E467" s="45">
        <v>0</v>
      </c>
      <c r="F467" s="45">
        <v>0</v>
      </c>
      <c r="G467" s="45">
        <v>0</v>
      </c>
      <c r="H467" s="60">
        <v>0</v>
      </c>
    </row>
    <row r="468" spans="1:8" ht="16" x14ac:dyDescent="0.2">
      <c r="A468" s="44">
        <v>500646</v>
      </c>
      <c r="B468" s="42" t="s">
        <v>986</v>
      </c>
      <c r="C468" s="42" t="s">
        <v>987</v>
      </c>
      <c r="D468" s="45">
        <v>0</v>
      </c>
      <c r="E468" s="45">
        <v>0</v>
      </c>
      <c r="F468" s="45">
        <v>0</v>
      </c>
      <c r="G468" s="45">
        <v>0</v>
      </c>
      <c r="H468" s="60">
        <v>0</v>
      </c>
    </row>
    <row r="469" spans="1:8" ht="16" x14ac:dyDescent="0.2">
      <c r="A469" s="44">
        <v>500678</v>
      </c>
      <c r="B469" s="42" t="s">
        <v>988</v>
      </c>
      <c r="C469" s="42" t="s">
        <v>989</v>
      </c>
      <c r="D469" s="45">
        <v>0</v>
      </c>
      <c r="E469" s="45">
        <v>0</v>
      </c>
      <c r="F469" s="45">
        <v>0</v>
      </c>
      <c r="G469" s="45">
        <v>0</v>
      </c>
      <c r="H469" s="60">
        <v>0</v>
      </c>
    </row>
    <row r="470" spans="1:8" ht="16" x14ac:dyDescent="0.2">
      <c r="A470" s="44">
        <v>500653</v>
      </c>
      <c r="B470" s="47" t="s">
        <v>990</v>
      </c>
      <c r="C470" s="47" t="s">
        <v>991</v>
      </c>
      <c r="D470" s="45">
        <v>0</v>
      </c>
      <c r="E470" s="45">
        <v>0</v>
      </c>
      <c r="F470" s="45">
        <v>0</v>
      </c>
      <c r="G470" s="45">
        <v>0</v>
      </c>
      <c r="H470" s="60">
        <v>0</v>
      </c>
    </row>
    <row r="471" spans="1:8" ht="16" x14ac:dyDescent="0.2">
      <c r="A471" s="44">
        <v>500677</v>
      </c>
      <c r="B471" s="47" t="s">
        <v>992</v>
      </c>
      <c r="C471" s="47" t="s">
        <v>993</v>
      </c>
      <c r="D471" s="45">
        <v>0</v>
      </c>
      <c r="E471" s="45">
        <v>0</v>
      </c>
      <c r="F471" s="45">
        <v>0</v>
      </c>
      <c r="G471" s="45">
        <v>0</v>
      </c>
      <c r="H471" s="60">
        <v>0</v>
      </c>
    </row>
    <row r="472" spans="1:8" ht="16" x14ac:dyDescent="0.2">
      <c r="A472" s="44">
        <v>500659</v>
      </c>
      <c r="B472" s="47" t="s">
        <v>994</v>
      </c>
      <c r="C472" s="47" t="s">
        <v>995</v>
      </c>
      <c r="D472" s="45">
        <v>0</v>
      </c>
      <c r="E472" s="45">
        <v>0</v>
      </c>
      <c r="F472" s="45">
        <v>0</v>
      </c>
      <c r="G472" s="45">
        <v>0</v>
      </c>
      <c r="H472" s="60">
        <v>0</v>
      </c>
    </row>
    <row r="473" spans="1:8" ht="16" x14ac:dyDescent="0.2">
      <c r="A473" s="44">
        <v>500047</v>
      </c>
      <c r="B473" s="47" t="s">
        <v>996</v>
      </c>
      <c r="C473" s="47" t="s">
        <v>997</v>
      </c>
      <c r="D473" s="45">
        <v>0</v>
      </c>
      <c r="E473" s="45">
        <v>0</v>
      </c>
      <c r="F473" s="45">
        <v>0</v>
      </c>
      <c r="G473" s="45">
        <v>0</v>
      </c>
      <c r="H473" s="60">
        <v>0</v>
      </c>
    </row>
    <row r="474" spans="1:8" ht="16" x14ac:dyDescent="0.2">
      <c r="A474" s="44">
        <v>500640</v>
      </c>
      <c r="B474" s="47" t="s">
        <v>998</v>
      </c>
      <c r="C474" s="47" t="s">
        <v>999</v>
      </c>
      <c r="D474" s="45">
        <v>0</v>
      </c>
      <c r="E474" s="45">
        <v>0</v>
      </c>
      <c r="F474" s="45">
        <v>0</v>
      </c>
      <c r="G474" s="45">
        <v>0</v>
      </c>
      <c r="H474" s="60">
        <v>0</v>
      </c>
    </row>
    <row r="475" spans="1:8" ht="16" x14ac:dyDescent="0.2">
      <c r="A475" s="44">
        <v>500686</v>
      </c>
      <c r="B475" s="47" t="s">
        <v>1000</v>
      </c>
      <c r="C475" s="47" t="s">
        <v>1001</v>
      </c>
      <c r="D475" s="45">
        <v>0</v>
      </c>
      <c r="E475" s="45">
        <v>0</v>
      </c>
      <c r="F475" s="45">
        <v>0</v>
      </c>
      <c r="G475" s="45">
        <v>0</v>
      </c>
      <c r="H475" s="60">
        <v>0</v>
      </c>
    </row>
    <row r="476" spans="1:8" ht="16" x14ac:dyDescent="0.2">
      <c r="A476" s="44">
        <v>500685</v>
      </c>
      <c r="B476" s="47" t="s">
        <v>1002</v>
      </c>
      <c r="C476" s="47" t="s">
        <v>1003</v>
      </c>
      <c r="D476" s="45">
        <v>0</v>
      </c>
      <c r="E476" s="45">
        <v>0</v>
      </c>
      <c r="F476" s="45">
        <v>0</v>
      </c>
      <c r="G476" s="45">
        <v>0</v>
      </c>
      <c r="H476" s="60">
        <v>0</v>
      </c>
    </row>
    <row r="477" spans="1:8" ht="16" x14ac:dyDescent="0.2">
      <c r="A477" s="44">
        <v>500683</v>
      </c>
      <c r="B477" s="47" t="s">
        <v>1004</v>
      </c>
      <c r="C477" s="47" t="s">
        <v>1005</v>
      </c>
      <c r="D477" s="45">
        <v>0</v>
      </c>
      <c r="E477" s="45">
        <v>0</v>
      </c>
      <c r="F477" s="45">
        <v>0</v>
      </c>
      <c r="G477" s="45">
        <v>0</v>
      </c>
      <c r="H477" s="60">
        <v>0</v>
      </c>
    </row>
    <row r="478" spans="1:8" ht="16" x14ac:dyDescent="0.2">
      <c r="A478" s="44">
        <v>500681</v>
      </c>
      <c r="B478" s="47" t="s">
        <v>1006</v>
      </c>
      <c r="C478" s="47" t="s">
        <v>1007</v>
      </c>
      <c r="D478" s="45">
        <v>0</v>
      </c>
      <c r="E478" s="45">
        <v>0</v>
      </c>
      <c r="F478" s="45">
        <v>0</v>
      </c>
      <c r="G478" s="45">
        <v>0</v>
      </c>
      <c r="H478" s="60">
        <v>0</v>
      </c>
    </row>
    <row r="479" spans="1:8" ht="16" x14ac:dyDescent="0.2">
      <c r="A479" s="44">
        <v>500679</v>
      </c>
      <c r="B479" s="47" t="s">
        <v>1008</v>
      </c>
      <c r="C479" s="47" t="s">
        <v>1009</v>
      </c>
      <c r="D479" s="45">
        <v>0</v>
      </c>
      <c r="E479" s="45">
        <v>0</v>
      </c>
      <c r="F479" s="45">
        <v>0</v>
      </c>
      <c r="G479" s="45">
        <v>0</v>
      </c>
      <c r="H479" s="60">
        <v>0</v>
      </c>
    </row>
    <row r="480" spans="1:8" ht="16" x14ac:dyDescent="0.2">
      <c r="A480" s="44">
        <v>500682</v>
      </c>
      <c r="B480" s="47" t="s">
        <v>1010</v>
      </c>
      <c r="C480" s="47" t="s">
        <v>1011</v>
      </c>
      <c r="D480" s="45">
        <v>0</v>
      </c>
      <c r="E480" s="45">
        <v>0</v>
      </c>
      <c r="F480" s="45">
        <v>0</v>
      </c>
      <c r="G480" s="45">
        <v>0</v>
      </c>
      <c r="H480" s="60">
        <v>0</v>
      </c>
    </row>
    <row r="481" spans="1:8" ht="16" x14ac:dyDescent="0.2">
      <c r="A481" s="44">
        <v>500680</v>
      </c>
      <c r="B481" s="47" t="s">
        <v>1012</v>
      </c>
      <c r="C481" s="47" t="s">
        <v>1013</v>
      </c>
      <c r="D481" s="45">
        <v>0</v>
      </c>
      <c r="E481" s="45">
        <v>0</v>
      </c>
      <c r="F481" s="45">
        <v>0</v>
      </c>
      <c r="G481" s="45">
        <v>0</v>
      </c>
      <c r="H481" s="60">
        <v>0</v>
      </c>
    </row>
    <row r="482" spans="1:8" ht="16" x14ac:dyDescent="0.2">
      <c r="A482" s="44">
        <v>500835</v>
      </c>
      <c r="B482" s="47" t="s">
        <v>1014</v>
      </c>
      <c r="C482" s="47" t="s">
        <v>1015</v>
      </c>
      <c r="D482" s="45">
        <v>0</v>
      </c>
      <c r="E482" s="45">
        <v>0</v>
      </c>
      <c r="F482" s="45">
        <v>0</v>
      </c>
      <c r="G482" s="45">
        <v>0</v>
      </c>
      <c r="H482" s="60">
        <v>0</v>
      </c>
    </row>
    <row r="483" spans="1:8" ht="16" x14ac:dyDescent="0.2">
      <c r="A483" s="44">
        <v>500124</v>
      </c>
      <c r="B483" s="47" t="s">
        <v>1016</v>
      </c>
      <c r="C483" s="47" t="s">
        <v>1017</v>
      </c>
      <c r="D483" s="45">
        <v>0</v>
      </c>
      <c r="E483" s="45">
        <v>0</v>
      </c>
      <c r="F483" s="45">
        <v>0</v>
      </c>
      <c r="G483" s="45">
        <v>0</v>
      </c>
      <c r="H483" s="60">
        <v>0</v>
      </c>
    </row>
    <row r="484" spans="1:8" ht="16" x14ac:dyDescent="0.2">
      <c r="A484" s="44">
        <v>500684</v>
      </c>
      <c r="B484" s="47" t="s">
        <v>1018</v>
      </c>
      <c r="C484" s="47" t="s">
        <v>1019</v>
      </c>
      <c r="D484" s="45">
        <v>0</v>
      </c>
      <c r="E484" s="45">
        <v>0</v>
      </c>
      <c r="F484" s="45">
        <v>0</v>
      </c>
      <c r="G484" s="45">
        <v>0</v>
      </c>
      <c r="H484" s="60">
        <v>0</v>
      </c>
    </row>
    <row r="485" spans="1:8" ht="16" x14ac:dyDescent="0.2">
      <c r="A485" s="44">
        <v>500626</v>
      </c>
      <c r="B485" s="47" t="s">
        <v>1020</v>
      </c>
      <c r="C485" s="47" t="s">
        <v>1021</v>
      </c>
      <c r="D485" s="45">
        <v>0</v>
      </c>
      <c r="E485" s="45">
        <v>0</v>
      </c>
      <c r="F485" s="45">
        <v>0</v>
      </c>
      <c r="G485" s="45">
        <v>0</v>
      </c>
      <c r="H485" s="60">
        <v>0</v>
      </c>
    </row>
    <row r="486" spans="1:8" ht="16" x14ac:dyDescent="0.2">
      <c r="A486" s="44">
        <v>500094</v>
      </c>
      <c r="B486" s="47" t="s">
        <v>1022</v>
      </c>
      <c r="C486" s="47" t="s">
        <v>1023</v>
      </c>
      <c r="D486" s="45">
        <v>0</v>
      </c>
      <c r="E486" s="45">
        <v>0</v>
      </c>
      <c r="F486" s="45">
        <v>0</v>
      </c>
      <c r="G486" s="45">
        <v>0</v>
      </c>
      <c r="H486" s="60">
        <v>0</v>
      </c>
    </row>
    <row r="487" spans="1:8" ht="16" x14ac:dyDescent="0.2">
      <c r="A487" s="44">
        <v>500620</v>
      </c>
      <c r="B487" s="47" t="s">
        <v>1024</v>
      </c>
      <c r="C487" s="47" t="s">
        <v>1025</v>
      </c>
      <c r="D487" s="45">
        <v>0</v>
      </c>
      <c r="E487" s="45">
        <v>0</v>
      </c>
      <c r="F487" s="45">
        <v>0</v>
      </c>
      <c r="G487" s="45">
        <v>0</v>
      </c>
      <c r="H487" s="60">
        <v>0</v>
      </c>
    </row>
    <row r="488" spans="1:8" ht="16" x14ac:dyDescent="0.2">
      <c r="A488" s="44">
        <v>500687</v>
      </c>
      <c r="B488" s="47" t="s">
        <v>1026</v>
      </c>
      <c r="C488" s="47" t="s">
        <v>1027</v>
      </c>
      <c r="D488" s="45">
        <v>0</v>
      </c>
      <c r="E488" s="45">
        <v>0</v>
      </c>
      <c r="F488" s="45">
        <v>0</v>
      </c>
      <c r="G488" s="45">
        <v>0</v>
      </c>
      <c r="H488" s="60">
        <v>0</v>
      </c>
    </row>
    <row r="489" spans="1:8" ht="16" x14ac:dyDescent="0.2">
      <c r="A489" s="44">
        <v>500052</v>
      </c>
      <c r="B489" s="47" t="s">
        <v>1028</v>
      </c>
      <c r="C489" s="47" t="s">
        <v>1029</v>
      </c>
      <c r="D489" s="45">
        <v>0</v>
      </c>
      <c r="E489" s="45">
        <v>0</v>
      </c>
      <c r="F489" s="45">
        <v>0</v>
      </c>
      <c r="G489" s="45">
        <v>0</v>
      </c>
      <c r="H489" s="60">
        <v>0</v>
      </c>
    </row>
    <row r="490" spans="1:8" ht="16" x14ac:dyDescent="0.2">
      <c r="A490" s="44">
        <v>500702</v>
      </c>
      <c r="B490" s="47" t="s">
        <v>1030</v>
      </c>
      <c r="C490" s="47" t="s">
        <v>1031</v>
      </c>
      <c r="D490" s="45">
        <v>0</v>
      </c>
      <c r="E490" s="45">
        <v>0</v>
      </c>
      <c r="F490" s="45">
        <v>0</v>
      </c>
      <c r="G490" s="45">
        <v>0</v>
      </c>
      <c r="H490" s="60">
        <v>0</v>
      </c>
    </row>
    <row r="491" spans="1:8" ht="16" x14ac:dyDescent="0.2">
      <c r="A491" s="44">
        <v>500705</v>
      </c>
      <c r="B491" s="47" t="s">
        <v>1032</v>
      </c>
      <c r="C491" s="47" t="s">
        <v>1033</v>
      </c>
      <c r="D491" s="45">
        <v>0</v>
      </c>
      <c r="E491" s="45">
        <v>0</v>
      </c>
      <c r="F491" s="45">
        <v>0</v>
      </c>
      <c r="G491" s="45">
        <v>0</v>
      </c>
      <c r="H491" s="60">
        <v>0</v>
      </c>
    </row>
    <row r="492" spans="1:8" ht="16" x14ac:dyDescent="0.2">
      <c r="A492" s="44">
        <v>500713</v>
      </c>
      <c r="B492" s="47" t="s">
        <v>1034</v>
      </c>
      <c r="C492" s="47" t="s">
        <v>1035</v>
      </c>
      <c r="D492" s="45">
        <v>0</v>
      </c>
      <c r="E492" s="45">
        <v>0</v>
      </c>
      <c r="F492" s="45">
        <v>0</v>
      </c>
      <c r="G492" s="45">
        <v>0</v>
      </c>
      <c r="H492" s="60">
        <v>0</v>
      </c>
    </row>
    <row r="493" spans="1:8" ht="16" x14ac:dyDescent="0.2">
      <c r="A493" s="44">
        <v>500715</v>
      </c>
      <c r="B493" s="47" t="s">
        <v>1036</v>
      </c>
      <c r="C493" s="47" t="s">
        <v>1037</v>
      </c>
      <c r="D493" s="45">
        <v>0</v>
      </c>
      <c r="E493" s="45">
        <v>0</v>
      </c>
      <c r="F493" s="45">
        <v>0</v>
      </c>
      <c r="G493" s="45">
        <v>0</v>
      </c>
      <c r="H493" s="60">
        <v>0</v>
      </c>
    </row>
    <row r="494" spans="1:8" ht="16" x14ac:dyDescent="0.2">
      <c r="A494" s="44">
        <v>500718</v>
      </c>
      <c r="B494" s="47" t="s">
        <v>1038</v>
      </c>
      <c r="C494" s="47" t="s">
        <v>1039</v>
      </c>
      <c r="D494" s="45">
        <v>0</v>
      </c>
      <c r="E494" s="45">
        <v>0</v>
      </c>
      <c r="F494" s="45">
        <v>0</v>
      </c>
      <c r="G494" s="45">
        <v>0</v>
      </c>
      <c r="H494" s="60">
        <v>0</v>
      </c>
    </row>
    <row r="495" spans="1:8" ht="16" x14ac:dyDescent="0.2">
      <c r="A495" s="44">
        <v>500716</v>
      </c>
      <c r="B495" s="47" t="s">
        <v>1040</v>
      </c>
      <c r="C495" s="47" t="s">
        <v>1041</v>
      </c>
      <c r="D495" s="45">
        <v>0</v>
      </c>
      <c r="E495" s="45">
        <v>0</v>
      </c>
      <c r="F495" s="45">
        <v>0</v>
      </c>
      <c r="G495" s="45">
        <v>0</v>
      </c>
      <c r="H495" s="60">
        <v>0</v>
      </c>
    </row>
    <row r="496" spans="1:8" ht="16" x14ac:dyDescent="0.2">
      <c r="A496" s="44">
        <v>500717</v>
      </c>
      <c r="B496" s="47" t="s">
        <v>1042</v>
      </c>
      <c r="C496" s="47" t="s">
        <v>1043</v>
      </c>
      <c r="D496" s="45">
        <v>0</v>
      </c>
      <c r="E496" s="45">
        <v>0</v>
      </c>
      <c r="F496" s="45">
        <v>0</v>
      </c>
      <c r="G496" s="45">
        <v>0</v>
      </c>
      <c r="H496" s="60">
        <v>0</v>
      </c>
    </row>
    <row r="497" spans="1:8" ht="16" x14ac:dyDescent="0.2">
      <c r="A497" s="44">
        <v>500710</v>
      </c>
      <c r="B497" s="47" t="s">
        <v>1044</v>
      </c>
      <c r="C497" s="47" t="s">
        <v>1045</v>
      </c>
      <c r="D497" s="45">
        <v>0</v>
      </c>
      <c r="E497" s="45">
        <v>0</v>
      </c>
      <c r="F497" s="45">
        <v>0</v>
      </c>
      <c r="G497" s="45">
        <v>0</v>
      </c>
      <c r="H497" s="60">
        <v>0</v>
      </c>
    </row>
    <row r="498" spans="1:8" ht="16" x14ac:dyDescent="0.2">
      <c r="A498" s="44">
        <v>500714</v>
      </c>
      <c r="B498" s="47" t="s">
        <v>1046</v>
      </c>
      <c r="C498" s="47" t="s">
        <v>1047</v>
      </c>
      <c r="D498" s="45">
        <v>0</v>
      </c>
      <c r="E498" s="45">
        <v>0</v>
      </c>
      <c r="F498" s="45">
        <v>0</v>
      </c>
      <c r="G498" s="45">
        <v>0</v>
      </c>
      <c r="H498" s="60">
        <v>0</v>
      </c>
    </row>
    <row r="499" spans="1:8" ht="16" x14ac:dyDescent="0.2">
      <c r="A499" s="44">
        <v>500400</v>
      </c>
      <c r="B499" s="47" t="s">
        <v>1048</v>
      </c>
      <c r="C499" s="47" t="s">
        <v>1049</v>
      </c>
      <c r="D499" s="45">
        <v>0</v>
      </c>
      <c r="E499" s="45">
        <v>0</v>
      </c>
      <c r="F499" s="45">
        <v>0</v>
      </c>
      <c r="G499" s="45">
        <v>0</v>
      </c>
      <c r="H499" s="60">
        <v>0</v>
      </c>
    </row>
    <row r="500" spans="1:8" ht="16" x14ac:dyDescent="0.2">
      <c r="A500" s="44">
        <v>500719</v>
      </c>
      <c r="B500" s="47" t="s">
        <v>1050</v>
      </c>
      <c r="C500" s="47" t="s">
        <v>1051</v>
      </c>
      <c r="D500" s="45">
        <v>0</v>
      </c>
      <c r="E500" s="45">
        <v>0</v>
      </c>
      <c r="F500" s="45">
        <v>0</v>
      </c>
      <c r="G500" s="45">
        <v>0</v>
      </c>
      <c r="H500" s="60">
        <v>0</v>
      </c>
    </row>
    <row r="501" spans="1:8" ht="16" x14ac:dyDescent="0.2">
      <c r="A501" s="44">
        <v>500711</v>
      </c>
      <c r="B501" s="47" t="s">
        <v>1052</v>
      </c>
      <c r="C501" s="47" t="s">
        <v>1053</v>
      </c>
      <c r="D501" s="45">
        <v>0</v>
      </c>
      <c r="E501" s="45">
        <v>0</v>
      </c>
      <c r="F501" s="45">
        <v>0</v>
      </c>
      <c r="G501" s="45">
        <v>0</v>
      </c>
      <c r="H501" s="60">
        <v>0</v>
      </c>
    </row>
    <row r="502" spans="1:8" ht="16" x14ac:dyDescent="0.2">
      <c r="A502" s="44">
        <v>500706</v>
      </c>
      <c r="B502" s="47" t="s">
        <v>1054</v>
      </c>
      <c r="C502" s="47" t="s">
        <v>1055</v>
      </c>
      <c r="D502" s="45">
        <v>0</v>
      </c>
      <c r="E502" s="45">
        <v>0</v>
      </c>
      <c r="F502" s="45">
        <v>0</v>
      </c>
      <c r="G502" s="45">
        <v>0</v>
      </c>
      <c r="H502" s="60">
        <v>0</v>
      </c>
    </row>
    <row r="503" spans="1:8" ht="16" x14ac:dyDescent="0.2">
      <c r="A503" s="44">
        <v>500708</v>
      </c>
      <c r="B503" s="47" t="s">
        <v>1056</v>
      </c>
      <c r="C503" s="47" t="s">
        <v>1057</v>
      </c>
      <c r="D503" s="45">
        <v>0</v>
      </c>
      <c r="E503" s="45">
        <v>0</v>
      </c>
      <c r="F503" s="45">
        <v>0</v>
      </c>
      <c r="G503" s="45">
        <v>0</v>
      </c>
      <c r="H503" s="60">
        <v>0</v>
      </c>
    </row>
    <row r="504" spans="1:8" ht="16" x14ac:dyDescent="0.2">
      <c r="A504" s="44">
        <v>500820</v>
      </c>
      <c r="B504" s="47" t="s">
        <v>1058</v>
      </c>
      <c r="C504" s="47" t="s">
        <v>1059</v>
      </c>
      <c r="D504" s="45">
        <v>0</v>
      </c>
      <c r="E504" s="45">
        <v>0</v>
      </c>
      <c r="F504" s="45">
        <v>0</v>
      </c>
      <c r="G504" s="45">
        <v>0</v>
      </c>
      <c r="H504" s="60">
        <v>0</v>
      </c>
    </row>
    <row r="505" spans="1:8" ht="16" x14ac:dyDescent="0.2">
      <c r="A505" s="44">
        <v>500712</v>
      </c>
      <c r="B505" s="47" t="s">
        <v>1060</v>
      </c>
      <c r="C505" s="47" t="s">
        <v>1061</v>
      </c>
      <c r="D505" s="45">
        <v>0</v>
      </c>
      <c r="E505" s="45">
        <v>0</v>
      </c>
      <c r="F505" s="45">
        <v>0</v>
      </c>
      <c r="G505" s="45">
        <v>0</v>
      </c>
      <c r="H505" s="60">
        <v>0</v>
      </c>
    </row>
    <row r="506" spans="1:8" ht="16" x14ac:dyDescent="0.2">
      <c r="A506" s="44">
        <v>500703</v>
      </c>
      <c r="B506" s="47" t="s">
        <v>1062</v>
      </c>
      <c r="C506" s="47" t="s">
        <v>1063</v>
      </c>
      <c r="D506" s="45">
        <v>0</v>
      </c>
      <c r="E506" s="45">
        <v>0</v>
      </c>
      <c r="F506" s="45">
        <v>0</v>
      </c>
      <c r="G506" s="45">
        <v>0</v>
      </c>
      <c r="H506" s="60">
        <v>0</v>
      </c>
    </row>
    <row r="507" spans="1:8" ht="16" x14ac:dyDescent="0.2">
      <c r="A507" s="44">
        <v>500728</v>
      </c>
      <c r="B507" s="47" t="s">
        <v>1064</v>
      </c>
      <c r="C507" s="47" t="s">
        <v>1065</v>
      </c>
      <c r="D507" s="45">
        <v>0</v>
      </c>
      <c r="E507" s="45">
        <v>0</v>
      </c>
      <c r="F507" s="45">
        <v>0</v>
      </c>
      <c r="G507" s="45">
        <v>0</v>
      </c>
      <c r="H507" s="60">
        <v>0</v>
      </c>
    </row>
    <row r="508" spans="1:8" ht="16" x14ac:dyDescent="0.2">
      <c r="A508" s="44">
        <v>500113</v>
      </c>
      <c r="B508" s="47" t="s">
        <v>1066</v>
      </c>
      <c r="C508" s="47" t="s">
        <v>1067</v>
      </c>
      <c r="D508" s="45">
        <v>0</v>
      </c>
      <c r="E508" s="45">
        <v>0</v>
      </c>
      <c r="F508" s="45">
        <v>0</v>
      </c>
      <c r="G508" s="45">
        <v>0</v>
      </c>
      <c r="H508" s="60">
        <v>0</v>
      </c>
    </row>
    <row r="509" spans="1:8" ht="16" x14ac:dyDescent="0.2">
      <c r="A509" s="44">
        <v>500621</v>
      </c>
      <c r="B509" s="47" t="s">
        <v>1068</v>
      </c>
      <c r="C509" s="47" t="s">
        <v>1069</v>
      </c>
      <c r="D509" s="45">
        <v>0</v>
      </c>
      <c r="E509" s="45">
        <v>0</v>
      </c>
      <c r="F509" s="45">
        <v>0</v>
      </c>
      <c r="G509" s="45">
        <v>0</v>
      </c>
      <c r="H509" s="60">
        <v>0</v>
      </c>
    </row>
    <row r="510" spans="1:8" ht="16" x14ac:dyDescent="0.2">
      <c r="A510" s="44">
        <v>500502</v>
      </c>
      <c r="B510" s="47" t="s">
        <v>1070</v>
      </c>
      <c r="C510" s="47" t="s">
        <v>1071</v>
      </c>
      <c r="D510" s="45">
        <v>0</v>
      </c>
      <c r="E510" s="45">
        <v>0</v>
      </c>
      <c r="F510" s="45">
        <v>0</v>
      </c>
      <c r="G510" s="45">
        <v>0</v>
      </c>
      <c r="H510" s="60">
        <v>0</v>
      </c>
    </row>
    <row r="511" spans="1:8" ht="16" x14ac:dyDescent="0.2">
      <c r="A511" s="44">
        <v>500888</v>
      </c>
      <c r="B511" s="47" t="s">
        <v>1072</v>
      </c>
      <c r="C511" s="47" t="s">
        <v>1073</v>
      </c>
      <c r="D511" s="45">
        <v>0</v>
      </c>
      <c r="E511" s="45">
        <v>0</v>
      </c>
      <c r="F511" s="45">
        <v>0</v>
      </c>
      <c r="G511" s="45">
        <v>0</v>
      </c>
      <c r="H511" s="60">
        <v>0</v>
      </c>
    </row>
    <row r="512" spans="1:8" ht="16" x14ac:dyDescent="0.2">
      <c r="A512" s="44">
        <v>500072</v>
      </c>
      <c r="B512" s="47" t="s">
        <v>1074</v>
      </c>
      <c r="C512" s="47" t="s">
        <v>1075</v>
      </c>
      <c r="D512" s="45">
        <v>0</v>
      </c>
      <c r="E512" s="45">
        <v>0</v>
      </c>
      <c r="F512" s="45">
        <v>0</v>
      </c>
      <c r="G512" s="45">
        <v>0</v>
      </c>
      <c r="H512" s="60">
        <v>0</v>
      </c>
    </row>
    <row r="513" spans="1:8" ht="16" x14ac:dyDescent="0.2">
      <c r="A513" s="44">
        <v>500096</v>
      </c>
      <c r="B513" s="47" t="s">
        <v>1076</v>
      </c>
      <c r="C513" s="47" t="s">
        <v>1077</v>
      </c>
      <c r="D513" s="45">
        <v>0</v>
      </c>
      <c r="E513" s="45">
        <v>0</v>
      </c>
      <c r="F513" s="45">
        <v>0</v>
      </c>
      <c r="G513" s="45">
        <v>0</v>
      </c>
      <c r="H513" s="60">
        <v>0</v>
      </c>
    </row>
    <row r="514" spans="1:8" ht="16" x14ac:dyDescent="0.2">
      <c r="A514" s="44">
        <v>500134</v>
      </c>
      <c r="B514" s="47" t="s">
        <v>1078</v>
      </c>
      <c r="C514" s="47" t="s">
        <v>1079</v>
      </c>
      <c r="D514" s="45">
        <v>0</v>
      </c>
      <c r="E514" s="45">
        <v>0</v>
      </c>
      <c r="F514" s="45">
        <v>0</v>
      </c>
      <c r="G514" s="45">
        <v>0</v>
      </c>
      <c r="H514" s="60">
        <v>0</v>
      </c>
    </row>
    <row r="515" spans="1:8" ht="16" x14ac:dyDescent="0.2">
      <c r="A515" s="46">
        <v>500001</v>
      </c>
      <c r="B515" s="47" t="s">
        <v>1080</v>
      </c>
      <c r="C515" s="47" t="s">
        <v>1081</v>
      </c>
      <c r="D515" s="45">
        <v>0</v>
      </c>
      <c r="E515" s="45">
        <v>0</v>
      </c>
      <c r="F515" s="45">
        <v>0</v>
      </c>
      <c r="G515" s="45">
        <v>0</v>
      </c>
      <c r="H515" s="60">
        <v>0</v>
      </c>
    </row>
    <row r="516" spans="1:8" ht="16" x14ac:dyDescent="0.2">
      <c r="A516" s="46">
        <v>500691</v>
      </c>
      <c r="B516" s="47" t="s">
        <v>1082</v>
      </c>
      <c r="C516" s="47" t="s">
        <v>1083</v>
      </c>
      <c r="D516" s="45">
        <v>0</v>
      </c>
      <c r="E516" s="45">
        <v>0</v>
      </c>
      <c r="F516" s="45">
        <v>0</v>
      </c>
      <c r="G516" s="45">
        <v>0</v>
      </c>
      <c r="H516" s="60">
        <v>0</v>
      </c>
    </row>
    <row r="517" spans="1:8" ht="16" x14ac:dyDescent="0.2">
      <c r="A517" s="46">
        <v>500859</v>
      </c>
      <c r="B517" s="47" t="s">
        <v>1084</v>
      </c>
      <c r="C517" s="47" t="s">
        <v>1085</v>
      </c>
      <c r="D517" s="45">
        <v>0</v>
      </c>
      <c r="E517" s="45">
        <v>0</v>
      </c>
      <c r="F517" s="45">
        <v>0</v>
      </c>
      <c r="G517" s="45">
        <v>0</v>
      </c>
      <c r="H517" s="60">
        <v>0</v>
      </c>
    </row>
    <row r="518" spans="1:8" ht="16" x14ac:dyDescent="0.2">
      <c r="A518" s="44">
        <v>500675</v>
      </c>
      <c r="B518" s="47" t="s">
        <v>1086</v>
      </c>
      <c r="C518" s="47" t="s">
        <v>1087</v>
      </c>
      <c r="D518" s="45">
        <v>0</v>
      </c>
      <c r="E518" s="45">
        <v>0</v>
      </c>
      <c r="F518" s="45">
        <v>0</v>
      </c>
      <c r="G518" s="45">
        <v>0</v>
      </c>
      <c r="H518" s="60">
        <v>0</v>
      </c>
    </row>
    <row r="519" spans="1:8" ht="16" x14ac:dyDescent="0.2">
      <c r="A519" s="44">
        <v>500675</v>
      </c>
      <c r="B519" s="47" t="s">
        <v>1088</v>
      </c>
      <c r="C519" s="47" t="s">
        <v>1087</v>
      </c>
      <c r="D519" s="45">
        <v>0</v>
      </c>
      <c r="E519" s="45">
        <v>0</v>
      </c>
      <c r="F519" s="45">
        <v>0</v>
      </c>
      <c r="G519" s="45">
        <v>0</v>
      </c>
      <c r="H519" s="60">
        <v>0</v>
      </c>
    </row>
    <row r="520" spans="1:8" ht="16" x14ac:dyDescent="0.2">
      <c r="A520" s="44">
        <v>500675</v>
      </c>
      <c r="B520" s="47" t="s">
        <v>1089</v>
      </c>
      <c r="C520" s="47" t="s">
        <v>1087</v>
      </c>
      <c r="D520" s="45">
        <v>0</v>
      </c>
      <c r="E520" s="45">
        <v>0</v>
      </c>
      <c r="F520" s="45">
        <v>0</v>
      </c>
      <c r="G520" s="45">
        <v>0</v>
      </c>
      <c r="H520" s="60">
        <v>0</v>
      </c>
    </row>
    <row r="521" spans="1:8" ht="16" x14ac:dyDescent="0.2">
      <c r="A521" s="44">
        <v>500675</v>
      </c>
      <c r="B521" s="47" t="s">
        <v>1090</v>
      </c>
      <c r="C521" s="47" t="s">
        <v>1087</v>
      </c>
      <c r="D521" s="45">
        <v>0</v>
      </c>
      <c r="E521" s="45">
        <v>0</v>
      </c>
      <c r="F521" s="45">
        <v>0</v>
      </c>
      <c r="G521" s="45">
        <v>0</v>
      </c>
      <c r="H521" s="60">
        <v>0</v>
      </c>
    </row>
    <row r="522" spans="1:8" ht="16" x14ac:dyDescent="0.2">
      <c r="A522" s="44">
        <v>500675</v>
      </c>
      <c r="B522" s="47" t="s">
        <v>1091</v>
      </c>
      <c r="C522" s="47" t="s">
        <v>1087</v>
      </c>
      <c r="D522" s="45">
        <v>0</v>
      </c>
      <c r="E522" s="45">
        <v>0</v>
      </c>
      <c r="F522" s="45">
        <v>0</v>
      </c>
      <c r="G522" s="45">
        <v>0</v>
      </c>
      <c r="H522" s="60">
        <v>0</v>
      </c>
    </row>
    <row r="523" spans="1:8" ht="16" x14ac:dyDescent="0.2">
      <c r="A523" s="44">
        <v>500675</v>
      </c>
      <c r="B523" s="47" t="s">
        <v>1092</v>
      </c>
      <c r="C523" s="47" t="s">
        <v>1087</v>
      </c>
      <c r="D523" s="45">
        <v>0</v>
      </c>
      <c r="E523" s="45">
        <v>0</v>
      </c>
      <c r="F523" s="45">
        <v>0</v>
      </c>
      <c r="G523" s="45">
        <v>0</v>
      </c>
      <c r="H523" s="60">
        <v>0</v>
      </c>
    </row>
    <row r="524" spans="1:8" ht="16" x14ac:dyDescent="0.2">
      <c r="A524" s="44">
        <v>500675</v>
      </c>
      <c r="B524" s="47" t="s">
        <v>1093</v>
      </c>
      <c r="C524" s="47" t="s">
        <v>1087</v>
      </c>
      <c r="D524" s="45">
        <v>0</v>
      </c>
      <c r="E524" s="45">
        <v>0</v>
      </c>
      <c r="F524" s="45">
        <v>0</v>
      </c>
      <c r="G524" s="45">
        <v>0</v>
      </c>
      <c r="H524" s="60">
        <v>0</v>
      </c>
    </row>
    <row r="525" spans="1:8" ht="16" x14ac:dyDescent="0.2">
      <c r="A525" s="44">
        <v>500675</v>
      </c>
      <c r="B525" s="47" t="s">
        <v>1094</v>
      </c>
      <c r="C525" s="47" t="s">
        <v>1087</v>
      </c>
      <c r="D525" s="45">
        <v>0</v>
      </c>
      <c r="E525" s="45">
        <v>0</v>
      </c>
      <c r="F525" s="45">
        <v>0</v>
      </c>
      <c r="G525" s="45">
        <v>0</v>
      </c>
      <c r="H525" s="60">
        <v>0</v>
      </c>
    </row>
    <row r="526" spans="1:8" ht="16" x14ac:dyDescent="0.2">
      <c r="A526" s="44">
        <v>500675</v>
      </c>
      <c r="B526" s="47" t="s">
        <v>1095</v>
      </c>
      <c r="C526" s="47" t="s">
        <v>1087</v>
      </c>
      <c r="D526" s="45">
        <v>0</v>
      </c>
      <c r="E526" s="45">
        <v>0</v>
      </c>
      <c r="F526" s="45">
        <v>0</v>
      </c>
      <c r="G526" s="45">
        <v>0</v>
      </c>
      <c r="H526" s="60">
        <v>0</v>
      </c>
    </row>
    <row r="527" spans="1:8" ht="16" x14ac:dyDescent="0.2">
      <c r="A527" s="44">
        <v>500675</v>
      </c>
      <c r="B527" s="47" t="s">
        <v>1096</v>
      </c>
      <c r="C527" s="47" t="s">
        <v>1087</v>
      </c>
      <c r="D527" s="45">
        <v>0</v>
      </c>
      <c r="E527" s="45">
        <v>0</v>
      </c>
      <c r="F527" s="45">
        <v>0</v>
      </c>
      <c r="G527" s="45">
        <v>0</v>
      </c>
      <c r="H527" s="60">
        <v>0</v>
      </c>
    </row>
    <row r="528" spans="1:8" ht="16" x14ac:dyDescent="0.2">
      <c r="A528" s="44">
        <v>500675</v>
      </c>
      <c r="B528" s="47" t="s">
        <v>1097</v>
      </c>
      <c r="C528" s="47" t="s">
        <v>1087</v>
      </c>
      <c r="D528" s="45">
        <v>0</v>
      </c>
      <c r="E528" s="45">
        <v>0</v>
      </c>
      <c r="F528" s="45">
        <v>0</v>
      </c>
      <c r="G528" s="45">
        <v>0</v>
      </c>
      <c r="H528" s="60">
        <v>0</v>
      </c>
    </row>
    <row r="529" spans="1:8" ht="16" x14ac:dyDescent="0.2">
      <c r="A529" s="46">
        <v>500675</v>
      </c>
      <c r="B529" s="47" t="s">
        <v>1098</v>
      </c>
      <c r="C529" s="47" t="s">
        <v>1087</v>
      </c>
      <c r="D529" s="45">
        <v>0</v>
      </c>
      <c r="E529" s="45">
        <v>0</v>
      </c>
      <c r="F529" s="45">
        <v>0</v>
      </c>
      <c r="G529" s="45">
        <v>0</v>
      </c>
      <c r="H529" s="60">
        <v>0</v>
      </c>
    </row>
    <row r="530" spans="1:8" ht="16" x14ac:dyDescent="0.2">
      <c r="A530" s="46">
        <v>500923</v>
      </c>
      <c r="B530" s="47" t="s">
        <v>1099</v>
      </c>
      <c r="C530" s="47" t="s">
        <v>1100</v>
      </c>
      <c r="D530" s="45">
        <v>0</v>
      </c>
      <c r="E530" s="45">
        <v>0</v>
      </c>
      <c r="F530" s="45">
        <v>0</v>
      </c>
      <c r="G530" s="45">
        <v>0</v>
      </c>
      <c r="H530" s="60">
        <v>0</v>
      </c>
    </row>
    <row r="531" spans="1:8" ht="16" x14ac:dyDescent="0.2">
      <c r="A531" s="51" t="s">
        <v>1101</v>
      </c>
      <c r="B531" s="47" t="s">
        <v>1102</v>
      </c>
      <c r="C531" s="47" t="s">
        <v>943</v>
      </c>
      <c r="D531" s="45">
        <v>0</v>
      </c>
      <c r="E531" s="45">
        <v>0</v>
      </c>
      <c r="F531" s="45">
        <v>0</v>
      </c>
      <c r="G531" s="45">
        <v>0</v>
      </c>
      <c r="H531" s="60">
        <v>0</v>
      </c>
    </row>
    <row r="532" spans="1:8" ht="16" x14ac:dyDescent="0.2">
      <c r="A532" s="46">
        <v>500932</v>
      </c>
      <c r="B532" s="47" t="s">
        <v>1103</v>
      </c>
      <c r="C532" s="47" t="s">
        <v>1104</v>
      </c>
      <c r="D532" s="45">
        <v>0</v>
      </c>
      <c r="E532" s="45">
        <v>0</v>
      </c>
      <c r="F532" s="45">
        <v>0</v>
      </c>
      <c r="G532" s="45">
        <v>0</v>
      </c>
      <c r="H532" s="60">
        <v>0</v>
      </c>
    </row>
    <row r="533" spans="1:8" ht="16" x14ac:dyDescent="0.2">
      <c r="A533" s="46">
        <v>500503</v>
      </c>
      <c r="B533" s="47" t="s">
        <v>1105</v>
      </c>
      <c r="C533" s="47" t="s">
        <v>1106</v>
      </c>
      <c r="D533" s="45">
        <v>0</v>
      </c>
      <c r="E533" s="45">
        <v>0</v>
      </c>
      <c r="F533" s="45">
        <v>0</v>
      </c>
      <c r="G533" s="45">
        <v>0</v>
      </c>
      <c r="H533" s="60">
        <v>0</v>
      </c>
    </row>
    <row r="534" spans="1:8" ht="16" x14ac:dyDescent="0.2">
      <c r="A534" s="46">
        <v>500168</v>
      </c>
      <c r="B534" s="47" t="s">
        <v>1107</v>
      </c>
      <c r="C534" s="47" t="s">
        <v>1108</v>
      </c>
      <c r="D534" s="45">
        <v>0</v>
      </c>
      <c r="E534" s="45">
        <v>0</v>
      </c>
      <c r="F534" s="45">
        <v>0</v>
      </c>
      <c r="G534" s="45">
        <v>0</v>
      </c>
      <c r="H534" s="60">
        <v>0</v>
      </c>
    </row>
    <row r="535" spans="1:8" ht="16" x14ac:dyDescent="0.2">
      <c r="A535" s="46">
        <v>500209</v>
      </c>
      <c r="B535" s="47" t="s">
        <v>1109</v>
      </c>
      <c r="C535" s="47" t="s">
        <v>1110</v>
      </c>
      <c r="D535" s="45">
        <v>0</v>
      </c>
      <c r="E535" s="45">
        <v>0</v>
      </c>
      <c r="F535" s="45">
        <v>0</v>
      </c>
      <c r="G535" s="45">
        <v>0</v>
      </c>
      <c r="H535" s="60">
        <v>0</v>
      </c>
    </row>
    <row r="536" spans="1:8" ht="16" x14ac:dyDescent="0.2">
      <c r="A536" s="46">
        <v>500871</v>
      </c>
      <c r="B536" s="47" t="s">
        <v>1111</v>
      </c>
      <c r="C536" s="47" t="s">
        <v>1112</v>
      </c>
      <c r="D536" s="45">
        <v>0</v>
      </c>
      <c r="E536" s="45">
        <v>0</v>
      </c>
      <c r="F536" s="45">
        <v>0</v>
      </c>
      <c r="G536" s="45">
        <v>0</v>
      </c>
      <c r="H536" s="60">
        <v>0</v>
      </c>
    </row>
    <row r="537" spans="1:8" ht="16" x14ac:dyDescent="0.2">
      <c r="A537" s="46">
        <v>500863</v>
      </c>
      <c r="B537" s="47" t="s">
        <v>1113</v>
      </c>
      <c r="C537" s="47" t="s">
        <v>1114</v>
      </c>
      <c r="D537" s="45">
        <v>0</v>
      </c>
      <c r="E537" s="45">
        <v>0</v>
      </c>
      <c r="F537" s="45">
        <v>0</v>
      </c>
      <c r="G537" s="45">
        <v>0</v>
      </c>
      <c r="H537" s="60">
        <v>0</v>
      </c>
    </row>
    <row r="538" spans="1:8" ht="16" x14ac:dyDescent="0.2">
      <c r="A538" s="46">
        <v>500662</v>
      </c>
      <c r="B538" s="47" t="s">
        <v>1115</v>
      </c>
      <c r="C538" s="47" t="s">
        <v>1116</v>
      </c>
      <c r="D538" s="45">
        <v>0</v>
      </c>
      <c r="E538" s="45">
        <v>0</v>
      </c>
      <c r="F538" s="45">
        <v>0</v>
      </c>
      <c r="G538" s="45">
        <v>0</v>
      </c>
      <c r="H538" s="60">
        <v>0</v>
      </c>
    </row>
    <row r="539" spans="1:8" ht="16" x14ac:dyDescent="0.2">
      <c r="A539" s="46">
        <v>500506</v>
      </c>
      <c r="B539" s="47" t="s">
        <v>1117</v>
      </c>
      <c r="C539" s="47" t="s">
        <v>1118</v>
      </c>
      <c r="D539" s="45">
        <v>0</v>
      </c>
      <c r="E539" s="45">
        <v>0</v>
      </c>
      <c r="F539" s="45">
        <v>0</v>
      </c>
      <c r="G539" s="45">
        <v>0</v>
      </c>
      <c r="H539" s="60">
        <v>0</v>
      </c>
    </row>
    <row r="540" spans="1:8" ht="16" x14ac:dyDescent="0.2">
      <c r="A540" s="46">
        <v>500931</v>
      </c>
      <c r="B540" s="47" t="s">
        <v>1119</v>
      </c>
      <c r="C540" s="47" t="s">
        <v>1120</v>
      </c>
      <c r="D540" s="45">
        <v>0</v>
      </c>
      <c r="E540" s="45">
        <v>0</v>
      </c>
      <c r="F540" s="45">
        <v>0</v>
      </c>
      <c r="G540" s="45">
        <v>0</v>
      </c>
      <c r="H540" s="60">
        <v>0</v>
      </c>
    </row>
    <row r="541" spans="1:8" ht="16" x14ac:dyDescent="0.2">
      <c r="A541" s="46">
        <v>500501</v>
      </c>
      <c r="B541" s="47" t="s">
        <v>1121</v>
      </c>
      <c r="C541" s="47" t="s">
        <v>1122</v>
      </c>
      <c r="D541" s="45">
        <v>0</v>
      </c>
      <c r="E541" s="45">
        <v>0</v>
      </c>
      <c r="F541" s="45">
        <v>0</v>
      </c>
      <c r="G541" s="45">
        <v>0</v>
      </c>
      <c r="H541" s="60">
        <v>0</v>
      </c>
    </row>
    <row r="542" spans="1:8" ht="16" x14ac:dyDescent="0.2">
      <c r="A542" s="46">
        <v>500904</v>
      </c>
      <c r="B542" s="47" t="s">
        <v>1123</v>
      </c>
      <c r="C542" s="47" t="s">
        <v>1124</v>
      </c>
      <c r="D542" s="45">
        <v>0</v>
      </c>
      <c r="E542" s="45">
        <v>0</v>
      </c>
      <c r="F542" s="45">
        <v>0</v>
      </c>
      <c r="G542" s="45">
        <v>0</v>
      </c>
      <c r="H542" s="60">
        <v>0</v>
      </c>
    </row>
    <row r="543" spans="1:8" ht="16" x14ac:dyDescent="0.2">
      <c r="A543" s="46">
        <v>500689</v>
      </c>
      <c r="B543" s="47" t="s">
        <v>1125</v>
      </c>
      <c r="C543" s="47" t="s">
        <v>1126</v>
      </c>
      <c r="D543" s="45">
        <v>0</v>
      </c>
      <c r="E543" s="45">
        <v>0</v>
      </c>
      <c r="F543" s="45">
        <v>0</v>
      </c>
      <c r="G543" s="45">
        <v>0</v>
      </c>
      <c r="H543" s="60">
        <v>0</v>
      </c>
    </row>
    <row r="544" spans="1:8" ht="16" x14ac:dyDescent="0.2">
      <c r="A544" s="46">
        <v>500133</v>
      </c>
      <c r="B544" s="47" t="s">
        <v>1127</v>
      </c>
      <c r="C544" s="47" t="s">
        <v>1128</v>
      </c>
      <c r="D544" s="45">
        <v>0</v>
      </c>
      <c r="E544" s="45">
        <v>0</v>
      </c>
      <c r="F544" s="45">
        <v>0</v>
      </c>
      <c r="G544" s="45">
        <v>0</v>
      </c>
      <c r="H544" s="60">
        <v>0</v>
      </c>
    </row>
    <row r="545" spans="1:8" ht="16" x14ac:dyDescent="0.2">
      <c r="A545" s="46">
        <v>500037</v>
      </c>
      <c r="B545" s="47" t="s">
        <v>1129</v>
      </c>
      <c r="C545" s="47" t="s">
        <v>1130</v>
      </c>
      <c r="D545" s="45">
        <v>0</v>
      </c>
      <c r="E545" s="45">
        <v>0</v>
      </c>
      <c r="F545" s="45">
        <v>0</v>
      </c>
      <c r="G545" s="45">
        <v>0</v>
      </c>
      <c r="H545" s="60">
        <v>0</v>
      </c>
    </row>
    <row r="546" spans="1:8" ht="16" x14ac:dyDescent="0.2">
      <c r="A546" s="44">
        <v>500110</v>
      </c>
      <c r="B546" s="47" t="s">
        <v>1131</v>
      </c>
      <c r="C546" s="47" t="s">
        <v>1132</v>
      </c>
      <c r="D546" s="45">
        <v>0</v>
      </c>
      <c r="E546" s="45">
        <v>0</v>
      </c>
      <c r="F546" s="45">
        <v>0</v>
      </c>
      <c r="G546" s="45">
        <v>0</v>
      </c>
      <c r="H546" s="60">
        <v>0</v>
      </c>
    </row>
    <row r="547" spans="1:8" ht="16" x14ac:dyDescent="0.2">
      <c r="A547" s="46">
        <v>500810</v>
      </c>
      <c r="B547" s="47" t="s">
        <v>1133</v>
      </c>
      <c r="C547" s="47" t="s">
        <v>1134</v>
      </c>
      <c r="D547" s="45">
        <v>0</v>
      </c>
      <c r="E547" s="45">
        <v>0</v>
      </c>
      <c r="F547" s="45">
        <v>0</v>
      </c>
      <c r="G547" s="45">
        <v>0</v>
      </c>
      <c r="H547" s="60">
        <v>0</v>
      </c>
    </row>
    <row r="548" spans="1:8" ht="16" x14ac:dyDescent="0.2">
      <c r="A548" s="46">
        <v>500182</v>
      </c>
      <c r="B548" s="47" t="s">
        <v>1135</v>
      </c>
      <c r="C548" s="47" t="s">
        <v>1136</v>
      </c>
      <c r="D548" s="45">
        <v>0</v>
      </c>
      <c r="E548" s="45">
        <v>0</v>
      </c>
      <c r="F548" s="45">
        <v>0</v>
      </c>
      <c r="G548" s="45">
        <v>0</v>
      </c>
      <c r="H548" s="60">
        <v>0</v>
      </c>
    </row>
    <row r="549" spans="1:8" ht="16" x14ac:dyDescent="0.2">
      <c r="A549" s="46">
        <v>500674</v>
      </c>
      <c r="B549" s="47" t="s">
        <v>1137</v>
      </c>
      <c r="C549" s="47" t="s">
        <v>1138</v>
      </c>
      <c r="D549" s="45">
        <v>0</v>
      </c>
      <c r="E549" s="45">
        <v>0</v>
      </c>
      <c r="F549" s="45">
        <v>0</v>
      </c>
      <c r="G549" s="45">
        <v>0</v>
      </c>
      <c r="H549" s="60">
        <v>0</v>
      </c>
    </row>
    <row r="550" spans="1:8" ht="16" x14ac:dyDescent="0.2">
      <c r="A550" s="44">
        <v>500828</v>
      </c>
      <c r="B550" s="47" t="s">
        <v>1139</v>
      </c>
      <c r="C550" s="47" t="s">
        <v>1140</v>
      </c>
      <c r="D550" s="45">
        <v>0</v>
      </c>
      <c r="E550" s="45">
        <v>0</v>
      </c>
      <c r="F550" s="45">
        <v>0</v>
      </c>
      <c r="G550" s="45">
        <v>0</v>
      </c>
      <c r="H550" s="60">
        <v>0</v>
      </c>
    </row>
    <row r="551" spans="1:8" ht="16" x14ac:dyDescent="0.2">
      <c r="A551" s="44">
        <v>500852</v>
      </c>
      <c r="B551" s="47" t="s">
        <v>1141</v>
      </c>
      <c r="C551" s="47" t="s">
        <v>1142</v>
      </c>
      <c r="D551" s="45">
        <v>0</v>
      </c>
      <c r="E551" s="45">
        <v>0</v>
      </c>
      <c r="F551" s="45">
        <v>0</v>
      </c>
      <c r="G551" s="45">
        <v>0</v>
      </c>
      <c r="H551" s="60">
        <v>0</v>
      </c>
    </row>
    <row r="552" spans="1:8" ht="16" x14ac:dyDescent="0.2">
      <c r="A552" s="46">
        <v>500889</v>
      </c>
      <c r="B552" s="47" t="s">
        <v>1143</v>
      </c>
      <c r="C552" s="47" t="s">
        <v>1144</v>
      </c>
      <c r="D552" s="45">
        <v>0</v>
      </c>
      <c r="E552" s="45">
        <v>0</v>
      </c>
      <c r="F552" s="45">
        <v>0</v>
      </c>
      <c r="G552" s="45">
        <v>0</v>
      </c>
      <c r="H552" s="60">
        <v>0</v>
      </c>
    </row>
    <row r="553" spans="1:8" ht="16" x14ac:dyDescent="0.2">
      <c r="A553" s="46">
        <v>500924</v>
      </c>
      <c r="B553" s="47" t="s">
        <v>1145</v>
      </c>
      <c r="C553" s="47" t="s">
        <v>1146</v>
      </c>
      <c r="D553" s="45">
        <v>0</v>
      </c>
      <c r="E553" s="45">
        <v>0</v>
      </c>
      <c r="F553" s="45">
        <v>0</v>
      </c>
      <c r="G553" s="45">
        <v>0</v>
      </c>
      <c r="H553" s="60">
        <v>0</v>
      </c>
    </row>
    <row r="554" spans="1:8" ht="16" x14ac:dyDescent="0.2">
      <c r="A554" s="46">
        <v>500194</v>
      </c>
      <c r="B554" s="47" t="s">
        <v>1147</v>
      </c>
      <c r="C554" s="47" t="s">
        <v>1148</v>
      </c>
      <c r="D554" s="45">
        <v>0</v>
      </c>
      <c r="E554" s="45">
        <v>0</v>
      </c>
      <c r="F554" s="45">
        <v>0</v>
      </c>
      <c r="G554" s="45">
        <v>0</v>
      </c>
      <c r="H554" s="60">
        <v>0</v>
      </c>
    </row>
    <row r="555" spans="1:8" ht="16" x14ac:dyDescent="0.2">
      <c r="A555" s="46">
        <v>500811</v>
      </c>
      <c r="B555" s="47" t="s">
        <v>1149</v>
      </c>
      <c r="C555" s="47" t="s">
        <v>1150</v>
      </c>
      <c r="D555" s="45">
        <v>0</v>
      </c>
      <c r="E555" s="45">
        <v>0</v>
      </c>
      <c r="F555" s="45">
        <v>0</v>
      </c>
      <c r="G555" s="45">
        <v>0</v>
      </c>
      <c r="H555" s="60">
        <v>0</v>
      </c>
    </row>
    <row r="556" spans="1:8" ht="16" x14ac:dyDescent="0.2">
      <c r="A556" s="46">
        <v>500692</v>
      </c>
      <c r="B556" s="47" t="s">
        <v>1151</v>
      </c>
      <c r="C556" s="47" t="s">
        <v>1152</v>
      </c>
      <c r="D556" s="45">
        <v>0</v>
      </c>
      <c r="E556" s="45">
        <v>0</v>
      </c>
      <c r="F556" s="45">
        <v>0</v>
      </c>
      <c r="G556" s="45">
        <v>0</v>
      </c>
      <c r="H556" s="60">
        <v>0</v>
      </c>
    </row>
    <row r="557" spans="1:8" ht="16" x14ac:dyDescent="0.2">
      <c r="A557" s="46">
        <v>500920</v>
      </c>
      <c r="B557" s="47" t="s">
        <v>1153</v>
      </c>
      <c r="C557" s="47" t="s">
        <v>1154</v>
      </c>
      <c r="D557" s="45">
        <v>0</v>
      </c>
      <c r="E557" s="45">
        <v>0</v>
      </c>
      <c r="F557" s="45">
        <v>0</v>
      </c>
      <c r="G557" s="45">
        <v>0</v>
      </c>
      <c r="H557" s="60">
        <v>0</v>
      </c>
    </row>
    <row r="558" spans="1:8" ht="16" x14ac:dyDescent="0.2">
      <c r="A558" s="46">
        <v>500881</v>
      </c>
      <c r="B558" s="47" t="s">
        <v>1155</v>
      </c>
      <c r="C558" s="47" t="s">
        <v>1156</v>
      </c>
      <c r="D558" s="45">
        <v>0</v>
      </c>
      <c r="E558" s="45">
        <v>0</v>
      </c>
      <c r="F558" s="45">
        <v>0</v>
      </c>
      <c r="G558" s="45">
        <v>0</v>
      </c>
      <c r="H558" s="60">
        <v>0</v>
      </c>
    </row>
    <row r="559" spans="1:8" ht="16" x14ac:dyDescent="0.2">
      <c r="A559" s="46">
        <v>500813</v>
      </c>
      <c r="B559" s="47" t="s">
        <v>1157</v>
      </c>
      <c r="C559" s="47" t="s">
        <v>1158</v>
      </c>
      <c r="D559" s="45">
        <v>0</v>
      </c>
      <c r="E559" s="45">
        <v>0</v>
      </c>
      <c r="F559" s="45">
        <v>0</v>
      </c>
      <c r="G559" s="45">
        <v>0</v>
      </c>
      <c r="H559" s="60">
        <v>0</v>
      </c>
    </row>
    <row r="560" spans="1:8" ht="16" x14ac:dyDescent="0.2">
      <c r="A560" s="46">
        <v>500220</v>
      </c>
      <c r="B560" s="47" t="s">
        <v>1159</v>
      </c>
      <c r="C560" s="47" t="s">
        <v>1160</v>
      </c>
      <c r="D560" s="45">
        <v>0</v>
      </c>
      <c r="E560" s="45">
        <v>0</v>
      </c>
      <c r="F560" s="45">
        <v>0</v>
      </c>
      <c r="G560" s="45">
        <v>0</v>
      </c>
      <c r="H560" s="60">
        <v>0</v>
      </c>
    </row>
    <row r="561" spans="1:8" ht="16" x14ac:dyDescent="0.2">
      <c r="A561" s="46">
        <v>500697</v>
      </c>
      <c r="B561" s="47" t="s">
        <v>1161</v>
      </c>
      <c r="C561" s="47" t="s">
        <v>1162</v>
      </c>
      <c r="D561" s="45">
        <v>0</v>
      </c>
      <c r="E561" s="45">
        <v>0</v>
      </c>
      <c r="F561" s="45">
        <v>0</v>
      </c>
      <c r="G561" s="45">
        <v>0</v>
      </c>
      <c r="H561" s="60">
        <v>0</v>
      </c>
    </row>
    <row r="562" spans="1:8" ht="16" x14ac:dyDescent="0.2">
      <c r="A562" s="44">
        <v>500697</v>
      </c>
      <c r="B562" s="47" t="s">
        <v>1163</v>
      </c>
      <c r="C562" s="47" t="s">
        <v>1162</v>
      </c>
      <c r="D562" s="45">
        <v>0</v>
      </c>
      <c r="E562" s="45">
        <v>0</v>
      </c>
      <c r="F562" s="45">
        <v>0</v>
      </c>
      <c r="G562" s="45">
        <v>0</v>
      </c>
      <c r="H562" s="60">
        <v>0</v>
      </c>
    </row>
    <row r="563" spans="1:8" ht="16" x14ac:dyDescent="0.2">
      <c r="A563" s="44">
        <v>500697</v>
      </c>
      <c r="B563" s="47" t="s">
        <v>1164</v>
      </c>
      <c r="C563" s="47" t="s">
        <v>1162</v>
      </c>
      <c r="D563" s="45">
        <v>0</v>
      </c>
      <c r="E563" s="45">
        <v>0</v>
      </c>
      <c r="F563" s="45">
        <v>0</v>
      </c>
      <c r="G563" s="45">
        <v>0</v>
      </c>
      <c r="H563" s="60">
        <v>0</v>
      </c>
    </row>
    <row r="564" spans="1:8" ht="16" x14ac:dyDescent="0.2">
      <c r="A564" s="44">
        <v>500697</v>
      </c>
      <c r="B564" s="47" t="s">
        <v>1165</v>
      </c>
      <c r="C564" s="47" t="s">
        <v>1162</v>
      </c>
      <c r="D564" s="45">
        <v>0</v>
      </c>
      <c r="E564" s="45">
        <v>0</v>
      </c>
      <c r="F564" s="45">
        <v>0</v>
      </c>
      <c r="G564" s="45">
        <v>0</v>
      </c>
      <c r="H564" s="60">
        <v>0</v>
      </c>
    </row>
    <row r="565" spans="1:8" ht="16" x14ac:dyDescent="0.2">
      <c r="A565" s="44">
        <v>500697</v>
      </c>
      <c r="B565" s="47" t="s">
        <v>1166</v>
      </c>
      <c r="C565" s="47" t="s">
        <v>1162</v>
      </c>
      <c r="D565" s="45">
        <v>0</v>
      </c>
      <c r="E565" s="45">
        <v>0</v>
      </c>
      <c r="F565" s="45">
        <v>0</v>
      </c>
      <c r="G565" s="45">
        <v>0</v>
      </c>
      <c r="H565" s="60">
        <v>0</v>
      </c>
    </row>
    <row r="566" spans="1:8" ht="16" x14ac:dyDescent="0.2">
      <c r="A566" s="44">
        <v>500697</v>
      </c>
      <c r="B566" s="47" t="s">
        <v>1167</v>
      </c>
      <c r="C566" s="47" t="s">
        <v>1162</v>
      </c>
      <c r="D566" s="45">
        <v>0</v>
      </c>
      <c r="E566" s="45">
        <v>0</v>
      </c>
      <c r="F566" s="45">
        <v>0</v>
      </c>
      <c r="G566" s="45">
        <v>0</v>
      </c>
      <c r="H566" s="60">
        <v>0</v>
      </c>
    </row>
    <row r="567" spans="1:8" ht="16" x14ac:dyDescent="0.2">
      <c r="A567" s="61">
        <v>500697</v>
      </c>
      <c r="B567" s="53" t="s">
        <v>1168</v>
      </c>
      <c r="C567" s="53" t="s">
        <v>1162</v>
      </c>
      <c r="D567" s="45">
        <v>0</v>
      </c>
      <c r="E567" s="45">
        <v>0</v>
      </c>
      <c r="F567" s="45">
        <v>0</v>
      </c>
      <c r="G567" s="45">
        <v>0</v>
      </c>
      <c r="H567" s="60">
        <v>0</v>
      </c>
    </row>
    <row r="568" spans="1:8" ht="16" x14ac:dyDescent="0.2">
      <c r="A568" s="44">
        <v>500697</v>
      </c>
      <c r="B568" s="47" t="s">
        <v>1169</v>
      </c>
      <c r="C568" s="47" t="s">
        <v>1162</v>
      </c>
      <c r="D568" s="45">
        <v>0</v>
      </c>
      <c r="E568" s="45">
        <v>0</v>
      </c>
      <c r="F568" s="45">
        <v>0</v>
      </c>
      <c r="G568" s="45">
        <v>0</v>
      </c>
      <c r="H568" s="60">
        <v>0</v>
      </c>
    </row>
    <row r="569" spans="1:8" ht="16" x14ac:dyDescent="0.2">
      <c r="A569" s="44">
        <v>500697</v>
      </c>
      <c r="B569" s="47" t="s">
        <v>1170</v>
      </c>
      <c r="C569" s="47" t="s">
        <v>1162</v>
      </c>
      <c r="D569" s="45">
        <v>0</v>
      </c>
      <c r="E569" s="45">
        <v>0</v>
      </c>
      <c r="F569" s="45">
        <v>0</v>
      </c>
      <c r="G569" s="45">
        <v>0</v>
      </c>
      <c r="H569" s="60">
        <v>0</v>
      </c>
    </row>
    <row r="570" spans="1:8" ht="16" x14ac:dyDescent="0.2">
      <c r="A570" s="44">
        <v>500697</v>
      </c>
      <c r="B570" s="47" t="s">
        <v>1171</v>
      </c>
      <c r="C570" s="47" t="s">
        <v>1162</v>
      </c>
      <c r="D570" s="45">
        <v>0</v>
      </c>
      <c r="E570" s="45">
        <v>0</v>
      </c>
      <c r="F570" s="45">
        <v>0</v>
      </c>
      <c r="G570" s="45">
        <v>0</v>
      </c>
      <c r="H570" s="60">
        <v>0</v>
      </c>
    </row>
    <row r="571" spans="1:8" ht="16" x14ac:dyDescent="0.2">
      <c r="A571" s="44">
        <v>500697</v>
      </c>
      <c r="B571" s="47" t="s">
        <v>1172</v>
      </c>
      <c r="C571" s="47" t="s">
        <v>1162</v>
      </c>
      <c r="D571" s="45">
        <v>0</v>
      </c>
      <c r="E571" s="45">
        <v>0</v>
      </c>
      <c r="F571" s="45">
        <v>0</v>
      </c>
      <c r="G571" s="45">
        <v>0</v>
      </c>
      <c r="H571" s="60">
        <v>0</v>
      </c>
    </row>
    <row r="572" spans="1:8" ht="16" x14ac:dyDescent="0.2">
      <c r="A572" s="44">
        <v>500697</v>
      </c>
      <c r="B572" s="47" t="s">
        <v>1173</v>
      </c>
      <c r="C572" s="47" t="s">
        <v>1162</v>
      </c>
      <c r="D572" s="45">
        <v>0</v>
      </c>
      <c r="E572" s="45">
        <v>0</v>
      </c>
      <c r="F572" s="45">
        <v>0</v>
      </c>
      <c r="G572" s="45">
        <v>0</v>
      </c>
      <c r="H572" s="60">
        <v>0</v>
      </c>
    </row>
    <row r="573" spans="1:8" ht="16" x14ac:dyDescent="0.2">
      <c r="A573" s="44">
        <v>500697</v>
      </c>
      <c r="B573" s="47" t="s">
        <v>1174</v>
      </c>
      <c r="C573" s="47" t="s">
        <v>1162</v>
      </c>
      <c r="D573" s="45">
        <v>0</v>
      </c>
      <c r="E573" s="45">
        <v>0</v>
      </c>
      <c r="F573" s="45">
        <v>0</v>
      </c>
      <c r="G573" s="45">
        <v>0</v>
      </c>
      <c r="H573" s="60">
        <v>0</v>
      </c>
    </row>
    <row r="574" spans="1:8" ht="16" x14ac:dyDescent="0.2">
      <c r="A574" s="44">
        <v>500697</v>
      </c>
      <c r="B574" s="47" t="s">
        <v>1175</v>
      </c>
      <c r="C574" s="47" t="s">
        <v>1162</v>
      </c>
      <c r="D574" s="45">
        <v>0</v>
      </c>
      <c r="E574" s="45">
        <v>0</v>
      </c>
      <c r="F574" s="45">
        <v>0</v>
      </c>
      <c r="G574" s="45">
        <v>0</v>
      </c>
      <c r="H574" s="60">
        <v>0</v>
      </c>
    </row>
    <row r="575" spans="1:8" ht="16" x14ac:dyDescent="0.2">
      <c r="A575" s="44">
        <v>500697</v>
      </c>
      <c r="B575" s="47" t="s">
        <v>1176</v>
      </c>
      <c r="C575" s="47" t="s">
        <v>1162</v>
      </c>
      <c r="D575" s="45">
        <v>0</v>
      </c>
      <c r="E575" s="45">
        <v>0</v>
      </c>
      <c r="F575" s="45">
        <v>0</v>
      </c>
      <c r="G575" s="45">
        <v>0</v>
      </c>
      <c r="H575" s="60">
        <v>0</v>
      </c>
    </row>
    <row r="576" spans="1:8" ht="16" x14ac:dyDescent="0.2">
      <c r="A576" s="44">
        <v>500697</v>
      </c>
      <c r="B576" s="47" t="s">
        <v>1177</v>
      </c>
      <c r="C576" s="47" t="s">
        <v>1162</v>
      </c>
      <c r="D576" s="45">
        <v>0</v>
      </c>
      <c r="E576" s="45">
        <v>0</v>
      </c>
      <c r="F576" s="45">
        <v>0</v>
      </c>
      <c r="G576" s="45">
        <v>0</v>
      </c>
      <c r="H576" s="60">
        <v>0</v>
      </c>
    </row>
    <row r="577" spans="1:8" ht="16" x14ac:dyDescent="0.2">
      <c r="A577" s="46">
        <v>500132</v>
      </c>
      <c r="B577" s="47" t="s">
        <v>1178</v>
      </c>
      <c r="C577" s="47" t="s">
        <v>1179</v>
      </c>
      <c r="D577" s="45">
        <v>0</v>
      </c>
      <c r="E577" s="45">
        <v>0</v>
      </c>
      <c r="F577" s="45">
        <v>0</v>
      </c>
      <c r="G577" s="45">
        <v>0</v>
      </c>
      <c r="H577" s="60">
        <v>0</v>
      </c>
    </row>
    <row r="578" spans="1:8" ht="16" x14ac:dyDescent="0.2">
      <c r="A578" s="46">
        <v>500704</v>
      </c>
      <c r="B578" s="47" t="s">
        <v>1180</v>
      </c>
      <c r="C578" s="47" t="s">
        <v>1181</v>
      </c>
      <c r="D578" s="45">
        <v>0</v>
      </c>
      <c r="E578" s="45">
        <v>0</v>
      </c>
      <c r="F578" s="45">
        <v>0</v>
      </c>
      <c r="G578" s="45">
        <v>0</v>
      </c>
      <c r="H578" s="60">
        <v>0</v>
      </c>
    </row>
    <row r="579" spans="1:8" ht="16" x14ac:dyDescent="0.2">
      <c r="A579" s="46">
        <v>500756</v>
      </c>
      <c r="B579" s="47" t="s">
        <v>1182</v>
      </c>
      <c r="C579" s="47" t="s">
        <v>1183</v>
      </c>
      <c r="D579" s="45">
        <v>0</v>
      </c>
      <c r="E579" s="45">
        <v>0</v>
      </c>
      <c r="F579" s="45">
        <v>0</v>
      </c>
      <c r="G579" s="45">
        <v>0</v>
      </c>
      <c r="H579" s="60">
        <v>0</v>
      </c>
    </row>
    <row r="580" spans="1:8" ht="16" x14ac:dyDescent="0.2">
      <c r="A580" s="46">
        <v>500732</v>
      </c>
      <c r="B580" s="47" t="s">
        <v>1184</v>
      </c>
      <c r="C580" s="47" t="s">
        <v>1185</v>
      </c>
      <c r="D580" s="45">
        <v>0</v>
      </c>
      <c r="E580" s="45">
        <v>0</v>
      </c>
      <c r="F580" s="45">
        <v>0</v>
      </c>
      <c r="G580" s="45">
        <v>0</v>
      </c>
      <c r="H580" s="60">
        <v>0</v>
      </c>
    </row>
    <row r="581" spans="1:8" ht="16" x14ac:dyDescent="0.2">
      <c r="A581" s="46">
        <v>500735</v>
      </c>
      <c r="B581" s="47" t="s">
        <v>1186</v>
      </c>
      <c r="C581" s="47" t="s">
        <v>1187</v>
      </c>
      <c r="D581" s="45">
        <v>0</v>
      </c>
      <c r="E581" s="45">
        <v>0</v>
      </c>
      <c r="F581" s="45">
        <v>0</v>
      </c>
      <c r="G581" s="45">
        <v>0</v>
      </c>
      <c r="H581" s="60">
        <v>0</v>
      </c>
    </row>
    <row r="582" spans="1:8" ht="16" x14ac:dyDescent="0.2">
      <c r="A582" s="46">
        <v>500747</v>
      </c>
      <c r="B582" s="47" t="s">
        <v>1188</v>
      </c>
      <c r="C582" s="47" t="s">
        <v>1189</v>
      </c>
      <c r="D582" s="45">
        <v>0</v>
      </c>
      <c r="E582" s="45">
        <v>0</v>
      </c>
      <c r="F582" s="45">
        <v>0</v>
      </c>
      <c r="G582" s="45">
        <v>0</v>
      </c>
      <c r="H582" s="60">
        <v>0</v>
      </c>
    </row>
    <row r="583" spans="1:8" ht="16" x14ac:dyDescent="0.2">
      <c r="A583" s="46">
        <v>500696</v>
      </c>
      <c r="B583" s="47" t="s">
        <v>1190</v>
      </c>
      <c r="C583" s="47" t="s">
        <v>1191</v>
      </c>
      <c r="D583" s="45">
        <v>0</v>
      </c>
      <c r="E583" s="45">
        <v>0</v>
      </c>
      <c r="F583" s="45">
        <v>0</v>
      </c>
      <c r="G583" s="45">
        <v>0</v>
      </c>
      <c r="H583" s="60">
        <v>0</v>
      </c>
    </row>
    <row r="584" spans="1:8" ht="16" x14ac:dyDescent="0.2">
      <c r="A584" s="46">
        <v>500812</v>
      </c>
      <c r="B584" s="47" t="s">
        <v>1192</v>
      </c>
      <c r="C584" s="47" t="s">
        <v>1193</v>
      </c>
      <c r="D584" s="45">
        <v>0</v>
      </c>
      <c r="E584" s="45">
        <v>0</v>
      </c>
      <c r="F584" s="45">
        <v>0</v>
      </c>
      <c r="G584" s="45">
        <v>0</v>
      </c>
      <c r="H584" s="60">
        <v>0</v>
      </c>
    </row>
    <row r="585" spans="1:8" ht="16" x14ac:dyDescent="0.2">
      <c r="A585" s="46">
        <v>500903</v>
      </c>
      <c r="B585" s="47" t="s">
        <v>1194</v>
      </c>
      <c r="C585" s="47" t="s">
        <v>1195</v>
      </c>
      <c r="D585" s="45">
        <v>0</v>
      </c>
      <c r="E585" s="45">
        <v>0</v>
      </c>
      <c r="F585" s="45">
        <v>0</v>
      </c>
      <c r="G585" s="45">
        <v>0</v>
      </c>
      <c r="H585" s="60">
        <v>0</v>
      </c>
    </row>
    <row r="586" spans="1:8" ht="16" x14ac:dyDescent="0.2">
      <c r="A586" s="46">
        <v>500015</v>
      </c>
      <c r="B586" s="47" t="s">
        <v>1196</v>
      </c>
      <c r="C586" s="47" t="s">
        <v>1197</v>
      </c>
      <c r="D586" s="45">
        <v>0</v>
      </c>
      <c r="E586" s="45">
        <v>0</v>
      </c>
      <c r="F586" s="45">
        <v>0</v>
      </c>
      <c r="G586" s="45">
        <v>0</v>
      </c>
      <c r="H586" s="60">
        <v>0</v>
      </c>
    </row>
    <row r="587" spans="1:8" ht="16" x14ac:dyDescent="0.2">
      <c r="A587" s="46">
        <v>500508</v>
      </c>
      <c r="B587" s="47" t="s">
        <v>1198</v>
      </c>
      <c r="C587" s="47" t="s">
        <v>1199</v>
      </c>
      <c r="D587" s="45">
        <v>0</v>
      </c>
      <c r="E587" s="45">
        <v>0</v>
      </c>
      <c r="F587" s="45">
        <v>0</v>
      </c>
      <c r="G587" s="45">
        <v>0</v>
      </c>
      <c r="H587" s="60">
        <v>0</v>
      </c>
    </row>
    <row r="588" spans="1:8" ht="16" x14ac:dyDescent="0.2">
      <c r="A588" s="46">
        <v>500806</v>
      </c>
      <c r="B588" s="47" t="s">
        <v>1200</v>
      </c>
      <c r="C588" s="47" t="s">
        <v>1201</v>
      </c>
      <c r="D588" s="45">
        <v>0</v>
      </c>
      <c r="E588" s="45">
        <v>0</v>
      </c>
      <c r="F588" s="45">
        <v>0</v>
      </c>
      <c r="G588" s="45">
        <v>0</v>
      </c>
      <c r="H588" s="60">
        <v>0</v>
      </c>
    </row>
    <row r="589" spans="1:8" ht="16" x14ac:dyDescent="0.2">
      <c r="A589" s="46">
        <v>500667</v>
      </c>
      <c r="B589" s="47" t="s">
        <v>1202</v>
      </c>
      <c r="C589" s="47" t="s">
        <v>1203</v>
      </c>
      <c r="D589" s="45">
        <v>0</v>
      </c>
      <c r="E589" s="45">
        <v>0</v>
      </c>
      <c r="F589" s="45">
        <v>0</v>
      </c>
      <c r="G589" s="45">
        <v>0</v>
      </c>
      <c r="H589" s="60">
        <v>0</v>
      </c>
    </row>
    <row r="590" spans="1:8" ht="16" x14ac:dyDescent="0.2">
      <c r="A590" s="44">
        <v>500059</v>
      </c>
      <c r="B590" s="47" t="s">
        <v>1204</v>
      </c>
      <c r="C590" s="47" t="s">
        <v>1205</v>
      </c>
      <c r="D590" s="45">
        <v>0</v>
      </c>
      <c r="E590" s="45">
        <v>0</v>
      </c>
      <c r="F590" s="45">
        <v>0</v>
      </c>
      <c r="G590" s="45">
        <v>0</v>
      </c>
      <c r="H590" s="60">
        <v>0</v>
      </c>
    </row>
    <row r="591" spans="1:8" ht="16" x14ac:dyDescent="0.2">
      <c r="A591" s="46">
        <v>500507</v>
      </c>
      <c r="B591" s="47" t="s">
        <v>1206</v>
      </c>
      <c r="C591" s="47" t="s">
        <v>1207</v>
      </c>
      <c r="D591" s="45">
        <v>0</v>
      </c>
      <c r="E591" s="45">
        <v>0</v>
      </c>
      <c r="F591" s="45">
        <v>0</v>
      </c>
      <c r="G591" s="45">
        <v>0</v>
      </c>
      <c r="H591" s="60">
        <v>0</v>
      </c>
    </row>
    <row r="592" spans="1:8" ht="16" x14ac:dyDescent="0.2">
      <c r="A592" s="46">
        <v>500401</v>
      </c>
      <c r="B592" s="47" t="s">
        <v>1208</v>
      </c>
      <c r="C592" s="47" t="s">
        <v>1209</v>
      </c>
      <c r="D592" s="45">
        <v>0</v>
      </c>
      <c r="E592" s="45">
        <v>0</v>
      </c>
      <c r="F592" s="45">
        <v>0</v>
      </c>
      <c r="G592" s="45">
        <v>0</v>
      </c>
      <c r="H592" s="60">
        <v>0</v>
      </c>
    </row>
    <row r="593" spans="1:8" ht="16" x14ac:dyDescent="0.2">
      <c r="A593" s="46">
        <v>500409</v>
      </c>
      <c r="B593" s="47" t="s">
        <v>1210</v>
      </c>
      <c r="C593" s="47" t="s">
        <v>1211</v>
      </c>
      <c r="D593" s="45">
        <v>0</v>
      </c>
      <c r="E593" s="45">
        <v>0</v>
      </c>
      <c r="F593" s="45">
        <v>0</v>
      </c>
      <c r="G593" s="45">
        <v>0</v>
      </c>
      <c r="H593" s="60">
        <v>0</v>
      </c>
    </row>
    <row r="594" spans="1:8" ht="16" x14ac:dyDescent="0.2">
      <c r="A594" s="46">
        <v>500412</v>
      </c>
      <c r="B594" s="47" t="s">
        <v>1212</v>
      </c>
      <c r="C594" s="47" t="s">
        <v>1213</v>
      </c>
      <c r="D594" s="45">
        <v>0</v>
      </c>
      <c r="E594" s="45">
        <v>0</v>
      </c>
      <c r="F594" s="45">
        <v>0</v>
      </c>
      <c r="G594" s="45">
        <v>0</v>
      </c>
      <c r="H594" s="60">
        <v>0</v>
      </c>
    </row>
    <row r="595" spans="1:8" ht="16" x14ac:dyDescent="0.2">
      <c r="A595" s="46">
        <v>500410</v>
      </c>
      <c r="B595" s="47" t="s">
        <v>1214</v>
      </c>
      <c r="C595" s="47" t="s">
        <v>1215</v>
      </c>
      <c r="D595" s="45">
        <v>0</v>
      </c>
      <c r="E595" s="45">
        <v>0</v>
      </c>
      <c r="F595" s="45">
        <v>0</v>
      </c>
      <c r="G595" s="45">
        <v>0</v>
      </c>
      <c r="H595" s="60">
        <v>0</v>
      </c>
    </row>
    <row r="596" spans="1:8" ht="16" x14ac:dyDescent="0.2">
      <c r="A596" s="46">
        <v>500807</v>
      </c>
      <c r="B596" s="47" t="s">
        <v>1216</v>
      </c>
      <c r="C596" s="47" t="s">
        <v>1217</v>
      </c>
      <c r="D596" s="45">
        <v>0</v>
      </c>
      <c r="E596" s="45">
        <v>0</v>
      </c>
      <c r="F596" s="45">
        <v>0</v>
      </c>
      <c r="G596" s="45">
        <v>0</v>
      </c>
      <c r="H596" s="60">
        <v>0</v>
      </c>
    </row>
    <row r="597" spans="1:8" ht="16" x14ac:dyDescent="0.2">
      <c r="A597" s="46">
        <v>500805</v>
      </c>
      <c r="B597" s="47" t="s">
        <v>1218</v>
      </c>
      <c r="C597" s="47" t="s">
        <v>1219</v>
      </c>
      <c r="D597" s="45">
        <v>0</v>
      </c>
      <c r="E597" s="45">
        <v>0</v>
      </c>
      <c r="F597" s="45">
        <v>0</v>
      </c>
      <c r="G597" s="45">
        <v>0</v>
      </c>
      <c r="H597" s="60">
        <v>0</v>
      </c>
    </row>
    <row r="598" spans="1:8" ht="16" x14ac:dyDescent="0.2">
      <c r="A598" s="46">
        <v>500676</v>
      </c>
      <c r="B598" s="47" t="s">
        <v>1220</v>
      </c>
      <c r="C598" s="42" t="s">
        <v>1221</v>
      </c>
      <c r="D598" s="45">
        <v>0</v>
      </c>
      <c r="E598" s="45">
        <v>0</v>
      </c>
      <c r="F598" s="45">
        <v>0</v>
      </c>
      <c r="G598" s="45">
        <v>0</v>
      </c>
      <c r="H598" s="60">
        <v>0</v>
      </c>
    </row>
    <row r="599" spans="1:8" ht="16" x14ac:dyDescent="0.2">
      <c r="A599" s="46">
        <v>500933</v>
      </c>
      <c r="B599" s="47" t="s">
        <v>1222</v>
      </c>
      <c r="C599" s="42" t="s">
        <v>1223</v>
      </c>
      <c r="D599" s="45">
        <v>0</v>
      </c>
      <c r="E599" s="45">
        <v>0</v>
      </c>
      <c r="F599" s="45">
        <v>0</v>
      </c>
      <c r="G599" s="45">
        <v>0</v>
      </c>
      <c r="H599" s="60">
        <v>0</v>
      </c>
    </row>
    <row r="600" spans="1:8" ht="16" x14ac:dyDescent="0.2">
      <c r="A600" s="46">
        <v>500085</v>
      </c>
      <c r="B600" s="47" t="s">
        <v>1224</v>
      </c>
      <c r="C600" s="42" t="s">
        <v>1225</v>
      </c>
      <c r="D600" s="45">
        <v>0</v>
      </c>
      <c r="E600" s="45">
        <v>0</v>
      </c>
      <c r="F600" s="45">
        <v>0</v>
      </c>
      <c r="G600" s="45">
        <v>0</v>
      </c>
      <c r="H600" s="60">
        <v>0</v>
      </c>
    </row>
    <row r="601" spans="1:8" ht="16" x14ac:dyDescent="0.2">
      <c r="A601" s="46">
        <v>500504</v>
      </c>
      <c r="B601" s="47" t="s">
        <v>1226</v>
      </c>
      <c r="C601" s="42" t="s">
        <v>1227</v>
      </c>
      <c r="D601" s="45">
        <v>0</v>
      </c>
      <c r="E601" s="45">
        <v>0</v>
      </c>
      <c r="F601" s="45">
        <v>0</v>
      </c>
      <c r="G601" s="45">
        <v>0</v>
      </c>
      <c r="H601" s="60">
        <v>0</v>
      </c>
    </row>
    <row r="602" spans="1:8" ht="16" x14ac:dyDescent="0.2">
      <c r="A602" s="46">
        <v>500849</v>
      </c>
      <c r="B602" s="47" t="s">
        <v>1228</v>
      </c>
      <c r="C602" s="42" t="s">
        <v>1229</v>
      </c>
      <c r="D602" s="45">
        <v>0</v>
      </c>
      <c r="E602" s="45">
        <v>0</v>
      </c>
      <c r="F602" s="45">
        <v>0</v>
      </c>
      <c r="G602" s="45">
        <v>0</v>
      </c>
      <c r="H602" s="60">
        <v>0</v>
      </c>
    </row>
    <row r="603" spans="1:8" ht="16" x14ac:dyDescent="0.2">
      <c r="A603" s="46">
        <v>500882</v>
      </c>
      <c r="B603" s="47" t="s">
        <v>1230</v>
      </c>
      <c r="C603" s="42" t="s">
        <v>1231</v>
      </c>
      <c r="D603" s="45">
        <v>0</v>
      </c>
      <c r="E603" s="45">
        <v>0</v>
      </c>
      <c r="F603" s="45">
        <v>0</v>
      </c>
      <c r="G603" s="45">
        <v>0</v>
      </c>
      <c r="H603" s="60">
        <v>0</v>
      </c>
    </row>
    <row r="604" spans="1:8" ht="16" x14ac:dyDescent="0.2">
      <c r="A604" s="46">
        <v>500652</v>
      </c>
      <c r="B604" s="47" t="s">
        <v>1232</v>
      </c>
      <c r="C604" s="42" t="s">
        <v>1233</v>
      </c>
      <c r="D604" s="45">
        <v>0</v>
      </c>
      <c r="E604" s="45">
        <v>0</v>
      </c>
      <c r="F604" s="45">
        <v>0</v>
      </c>
      <c r="G604" s="45">
        <v>0</v>
      </c>
      <c r="H604" s="60">
        <v>0</v>
      </c>
    </row>
    <row r="605" spans="1:8" ht="16" x14ac:dyDescent="0.2">
      <c r="A605" s="46">
        <v>500693</v>
      </c>
      <c r="B605" s="47" t="s">
        <v>1234</v>
      </c>
      <c r="C605" s="42" t="s">
        <v>1235</v>
      </c>
      <c r="D605" s="45">
        <v>0</v>
      </c>
      <c r="E605" s="45">
        <v>0</v>
      </c>
      <c r="F605" s="45">
        <v>0</v>
      </c>
      <c r="G605" s="45">
        <v>0</v>
      </c>
      <c r="H605" s="60">
        <v>0</v>
      </c>
    </row>
    <row r="606" spans="1:8" ht="16" x14ac:dyDescent="0.2">
      <c r="A606" s="46">
        <v>500883</v>
      </c>
      <c r="B606" s="47" t="s">
        <v>1236</v>
      </c>
      <c r="C606" s="42" t="s">
        <v>1237</v>
      </c>
      <c r="D606" s="45">
        <v>0</v>
      </c>
      <c r="E606" s="45">
        <v>0</v>
      </c>
      <c r="F606" s="45">
        <v>0</v>
      </c>
      <c r="G606" s="45">
        <v>0</v>
      </c>
      <c r="H606" s="60">
        <v>0</v>
      </c>
    </row>
    <row r="607" spans="1:8" ht="16" x14ac:dyDescent="0.2">
      <c r="A607" s="46">
        <v>500654</v>
      </c>
      <c r="B607" s="47" t="s">
        <v>1238</v>
      </c>
      <c r="C607" s="47" t="s">
        <v>1239</v>
      </c>
      <c r="D607" s="45">
        <v>0</v>
      </c>
      <c r="E607" s="45">
        <v>0</v>
      </c>
      <c r="F607" s="45">
        <v>0</v>
      </c>
      <c r="G607" s="45">
        <v>0</v>
      </c>
      <c r="H607" s="60">
        <v>0</v>
      </c>
    </row>
    <row r="608" spans="1:8" ht="16" x14ac:dyDescent="0.2">
      <c r="A608" s="46">
        <v>500875</v>
      </c>
      <c r="B608" s="47" t="s">
        <v>1240</v>
      </c>
      <c r="C608" s="47" t="s">
        <v>1241</v>
      </c>
      <c r="D608" s="45">
        <v>0</v>
      </c>
      <c r="E608" s="45">
        <v>0</v>
      </c>
      <c r="F608" s="45">
        <v>0</v>
      </c>
      <c r="G608" s="45">
        <v>0</v>
      </c>
      <c r="H608" s="60">
        <v>0</v>
      </c>
    </row>
    <row r="609" spans="1:8" ht="16" x14ac:dyDescent="0.2">
      <c r="A609" s="46">
        <v>500880</v>
      </c>
      <c r="B609" s="47" t="s">
        <v>1242</v>
      </c>
      <c r="C609" s="47" t="s">
        <v>1243</v>
      </c>
      <c r="D609" s="45">
        <v>0</v>
      </c>
      <c r="E609" s="45">
        <v>0</v>
      </c>
      <c r="F609" s="45">
        <v>0</v>
      </c>
      <c r="G609" s="45">
        <v>0</v>
      </c>
      <c r="H609" s="60">
        <v>0</v>
      </c>
    </row>
    <row r="610" spans="1:8" ht="16" x14ac:dyDescent="0.2">
      <c r="A610" s="46">
        <v>500884</v>
      </c>
      <c r="B610" s="47" t="s">
        <v>1244</v>
      </c>
      <c r="C610" s="47" t="s">
        <v>1245</v>
      </c>
      <c r="D610" s="45">
        <v>0</v>
      </c>
      <c r="E610" s="45">
        <v>0</v>
      </c>
      <c r="F610" s="45">
        <v>0</v>
      </c>
      <c r="G610" s="45">
        <v>0</v>
      </c>
      <c r="H610" s="60">
        <v>0</v>
      </c>
    </row>
    <row r="611" spans="1:8" ht="16" x14ac:dyDescent="0.2">
      <c r="A611" s="46">
        <v>500671</v>
      </c>
      <c r="B611" s="47" t="s">
        <v>1246</v>
      </c>
      <c r="C611" s="42" t="s">
        <v>1247</v>
      </c>
      <c r="D611" s="45">
        <v>0</v>
      </c>
      <c r="E611" s="45">
        <v>0</v>
      </c>
      <c r="F611" s="45">
        <v>0</v>
      </c>
      <c r="G611" s="45">
        <v>0</v>
      </c>
      <c r="H611" s="60">
        <v>0</v>
      </c>
    </row>
    <row r="612" spans="1:8" ht="16" x14ac:dyDescent="0.2">
      <c r="A612" s="46">
        <v>500922</v>
      </c>
      <c r="B612" s="47" t="s">
        <v>1248</v>
      </c>
      <c r="C612" s="42" t="s">
        <v>1249</v>
      </c>
      <c r="D612" s="45">
        <v>0</v>
      </c>
      <c r="E612" s="45">
        <v>0</v>
      </c>
      <c r="F612" s="45">
        <v>0</v>
      </c>
      <c r="G612" s="45">
        <v>0</v>
      </c>
      <c r="H612" s="60">
        <v>0</v>
      </c>
    </row>
    <row r="613" spans="1:8" ht="16" x14ac:dyDescent="0.2">
      <c r="A613" s="44">
        <v>500195</v>
      </c>
      <c r="B613" s="47" t="s">
        <v>1250</v>
      </c>
      <c r="C613" s="42" t="s">
        <v>1251</v>
      </c>
      <c r="D613" s="45">
        <v>0</v>
      </c>
      <c r="E613" s="45">
        <v>0</v>
      </c>
      <c r="F613" s="45">
        <v>0</v>
      </c>
      <c r="G613" s="45">
        <v>0</v>
      </c>
      <c r="H613" s="60">
        <v>0</v>
      </c>
    </row>
    <row r="614" spans="1:8" ht="16" x14ac:dyDescent="0.2">
      <c r="A614" s="44">
        <v>500622</v>
      </c>
      <c r="B614" s="47" t="s">
        <v>1252</v>
      </c>
      <c r="C614" s="42" t="s">
        <v>1253</v>
      </c>
      <c r="D614" s="45">
        <v>0</v>
      </c>
      <c r="E614" s="45">
        <v>0</v>
      </c>
      <c r="F614" s="45">
        <v>0</v>
      </c>
      <c r="G614" s="45">
        <v>0</v>
      </c>
      <c r="H614" s="60">
        <v>0</v>
      </c>
    </row>
    <row r="615" spans="1:8" ht="16" x14ac:dyDescent="0.2">
      <c r="A615" s="44">
        <v>500607</v>
      </c>
      <c r="B615" s="47" t="s">
        <v>1254</v>
      </c>
      <c r="C615" s="42" t="s">
        <v>1255</v>
      </c>
      <c r="D615" s="45">
        <v>0</v>
      </c>
      <c r="E615" s="45">
        <v>0</v>
      </c>
      <c r="F615" s="45">
        <v>0</v>
      </c>
      <c r="G615" s="45">
        <v>0</v>
      </c>
      <c r="H615" s="60">
        <v>0</v>
      </c>
    </row>
    <row r="616" spans="1:8" ht="16" x14ac:dyDescent="0.2">
      <c r="A616" s="44">
        <v>500707</v>
      </c>
      <c r="B616" s="47" t="s">
        <v>1256</v>
      </c>
      <c r="C616" s="47" t="s">
        <v>1257</v>
      </c>
      <c r="D616" s="45">
        <v>0</v>
      </c>
      <c r="E616" s="45">
        <v>0</v>
      </c>
      <c r="F616" s="45">
        <v>0</v>
      </c>
      <c r="G616" s="45">
        <v>0</v>
      </c>
      <c r="H616" s="60">
        <v>0</v>
      </c>
    </row>
    <row r="617" spans="1:8" ht="16" x14ac:dyDescent="0.2">
      <c r="A617" s="44">
        <v>500709</v>
      </c>
      <c r="B617" s="47" t="s">
        <v>1258</v>
      </c>
      <c r="C617" s="47" t="s">
        <v>1259</v>
      </c>
      <c r="D617" s="45">
        <v>0</v>
      </c>
      <c r="E617" s="45">
        <v>0</v>
      </c>
      <c r="F617" s="45">
        <v>0</v>
      </c>
      <c r="G617" s="45">
        <v>0</v>
      </c>
      <c r="H617" s="60">
        <v>0</v>
      </c>
    </row>
    <row r="618" spans="1:8" ht="16" x14ac:dyDescent="0.2">
      <c r="A618" s="44">
        <v>500007</v>
      </c>
      <c r="B618" s="47" t="s">
        <v>1260</v>
      </c>
      <c r="C618" s="47" t="s">
        <v>1261</v>
      </c>
      <c r="D618" s="45">
        <v>0</v>
      </c>
      <c r="E618" s="45">
        <v>0</v>
      </c>
      <c r="F618" s="45">
        <v>0</v>
      </c>
      <c r="G618" s="45">
        <v>0</v>
      </c>
      <c r="H618" s="60">
        <v>0</v>
      </c>
    </row>
    <row r="619" spans="1:8" ht="16" x14ac:dyDescent="0.2">
      <c r="A619" s="44">
        <v>500655</v>
      </c>
      <c r="B619" s="47" t="s">
        <v>1262</v>
      </c>
      <c r="C619" s="42" t="s">
        <v>1263</v>
      </c>
      <c r="D619" s="45">
        <v>0</v>
      </c>
      <c r="E619" s="45">
        <v>0</v>
      </c>
      <c r="F619" s="45">
        <v>0</v>
      </c>
      <c r="G619" s="45">
        <v>0</v>
      </c>
      <c r="H619" s="60">
        <v>0</v>
      </c>
    </row>
    <row r="620" spans="1:8" ht="16" x14ac:dyDescent="0.2">
      <c r="A620" s="44">
        <v>500632</v>
      </c>
      <c r="B620" s="47" t="s">
        <v>1264</v>
      </c>
      <c r="C620" s="47" t="s">
        <v>1265</v>
      </c>
      <c r="D620" s="45">
        <v>0</v>
      </c>
      <c r="E620" s="45">
        <v>0</v>
      </c>
      <c r="F620" s="45">
        <v>0</v>
      </c>
      <c r="G620" s="45">
        <v>0</v>
      </c>
      <c r="H620" s="60">
        <v>0</v>
      </c>
    </row>
    <row r="621" spans="1:8" ht="16" x14ac:dyDescent="0.2">
      <c r="A621" s="44">
        <v>500623</v>
      </c>
      <c r="B621" s="47" t="s">
        <v>1266</v>
      </c>
      <c r="C621" s="47" t="s">
        <v>1267</v>
      </c>
      <c r="D621" s="45">
        <v>0</v>
      </c>
      <c r="E621" s="45">
        <v>0</v>
      </c>
      <c r="F621" s="45">
        <v>0</v>
      </c>
      <c r="G621" s="45">
        <v>0</v>
      </c>
      <c r="H621" s="60">
        <v>0</v>
      </c>
    </row>
    <row r="622" spans="1:8" ht="16" x14ac:dyDescent="0.2">
      <c r="A622" s="46">
        <v>500169</v>
      </c>
      <c r="B622" s="47" t="s">
        <v>1268</v>
      </c>
      <c r="C622" s="47" t="s">
        <v>1269</v>
      </c>
      <c r="D622" s="45">
        <v>0</v>
      </c>
      <c r="E622" s="45">
        <v>0</v>
      </c>
      <c r="F622" s="45">
        <v>0</v>
      </c>
      <c r="G622" s="45">
        <v>0</v>
      </c>
      <c r="H622" s="60">
        <v>0</v>
      </c>
    </row>
    <row r="623" spans="1:8" ht="16" x14ac:dyDescent="0.2">
      <c r="A623" s="46">
        <v>500203</v>
      </c>
      <c r="B623" s="47" t="s">
        <v>1270</v>
      </c>
      <c r="C623" s="47" t="s">
        <v>1271</v>
      </c>
      <c r="D623" s="45">
        <v>0</v>
      </c>
      <c r="E623" s="45">
        <v>0</v>
      </c>
      <c r="F623" s="45">
        <v>0</v>
      </c>
      <c r="G623" s="45">
        <v>0</v>
      </c>
      <c r="H623" s="60">
        <v>0</v>
      </c>
    </row>
    <row r="624" spans="1:8" ht="16" x14ac:dyDescent="0.2">
      <c r="A624" s="46">
        <v>500201</v>
      </c>
      <c r="B624" s="47" t="s">
        <v>1272</v>
      </c>
      <c r="C624" s="47" t="s">
        <v>1273</v>
      </c>
      <c r="D624" s="45">
        <v>0</v>
      </c>
      <c r="E624" s="45">
        <v>0</v>
      </c>
      <c r="F624" s="45">
        <v>0</v>
      </c>
      <c r="G624" s="45">
        <v>0</v>
      </c>
      <c r="H624" s="60">
        <v>0</v>
      </c>
    </row>
    <row r="625" spans="1:8" ht="16" x14ac:dyDescent="0.2">
      <c r="A625" s="46">
        <v>500205</v>
      </c>
      <c r="B625" s="47" t="s">
        <v>1274</v>
      </c>
      <c r="C625" s="47" t="s">
        <v>1275</v>
      </c>
      <c r="D625" s="45">
        <v>0</v>
      </c>
      <c r="E625" s="45">
        <v>0</v>
      </c>
      <c r="F625" s="45">
        <v>0</v>
      </c>
      <c r="G625" s="45">
        <v>0</v>
      </c>
      <c r="H625" s="60">
        <v>0</v>
      </c>
    </row>
    <row r="626" spans="1:8" ht="16" x14ac:dyDescent="0.2">
      <c r="A626" s="46">
        <v>500212</v>
      </c>
      <c r="B626" s="47" t="s">
        <v>1276</v>
      </c>
      <c r="C626" s="47" t="s">
        <v>1277</v>
      </c>
      <c r="D626" s="45">
        <v>0</v>
      </c>
      <c r="E626" s="45">
        <v>0</v>
      </c>
      <c r="F626" s="45">
        <v>0</v>
      </c>
      <c r="G626" s="45">
        <v>0</v>
      </c>
      <c r="H626" s="60">
        <v>0</v>
      </c>
    </row>
    <row r="627" spans="1:8" ht="16" x14ac:dyDescent="0.2">
      <c r="A627" s="46">
        <v>999999</v>
      </c>
      <c r="B627" s="47" t="s">
        <v>1278</v>
      </c>
      <c r="C627" s="47" t="s">
        <v>1279</v>
      </c>
      <c r="D627" s="45">
        <v>0</v>
      </c>
      <c r="E627" s="45">
        <v>0</v>
      </c>
      <c r="F627" s="45">
        <v>0</v>
      </c>
      <c r="G627" s="45">
        <v>0</v>
      </c>
      <c r="H627" s="60">
        <v>0</v>
      </c>
    </row>
    <row r="628" spans="1:8" ht="16" x14ac:dyDescent="0.2">
      <c r="A628" s="46">
        <v>500036</v>
      </c>
      <c r="B628" s="47" t="s">
        <v>1280</v>
      </c>
      <c r="C628" s="47" t="s">
        <v>1281</v>
      </c>
      <c r="D628" s="45">
        <v>0</v>
      </c>
      <c r="E628" s="45">
        <v>0</v>
      </c>
      <c r="F628" s="45">
        <v>0</v>
      </c>
      <c r="G628" s="45">
        <v>0</v>
      </c>
      <c r="H628" s="60">
        <v>0</v>
      </c>
    </row>
    <row r="629" spans="1:8" ht="16" x14ac:dyDescent="0.2">
      <c r="A629" s="46">
        <v>500900</v>
      </c>
      <c r="B629" s="47" t="s">
        <v>1282</v>
      </c>
      <c r="C629" s="47" t="s">
        <v>1283</v>
      </c>
      <c r="D629" s="45">
        <v>0</v>
      </c>
      <c r="E629" s="45">
        <v>0</v>
      </c>
      <c r="F629" s="45">
        <v>0</v>
      </c>
      <c r="G629" s="45">
        <v>0</v>
      </c>
      <c r="H629" s="60">
        <v>0</v>
      </c>
    </row>
    <row r="630" spans="1:8" ht="16" x14ac:dyDescent="0.2">
      <c r="A630" s="46">
        <v>500901</v>
      </c>
      <c r="B630" s="47" t="s">
        <v>1284</v>
      </c>
      <c r="C630" s="47" t="s">
        <v>1285</v>
      </c>
      <c r="D630" s="45">
        <v>0</v>
      </c>
      <c r="E630" s="45">
        <v>0</v>
      </c>
      <c r="F630" s="45">
        <v>0</v>
      </c>
      <c r="G630" s="45">
        <v>0</v>
      </c>
      <c r="H630" s="60">
        <v>0</v>
      </c>
    </row>
    <row r="631" spans="1:8" ht="16" x14ac:dyDescent="0.2">
      <c r="A631" s="46">
        <v>500044</v>
      </c>
      <c r="B631" s="47" t="s">
        <v>1286</v>
      </c>
      <c r="C631" s="47" t="s">
        <v>1287</v>
      </c>
      <c r="D631" s="45">
        <v>0</v>
      </c>
      <c r="E631" s="45">
        <v>0</v>
      </c>
      <c r="F631" s="45">
        <v>0</v>
      </c>
      <c r="G631" s="45">
        <v>0</v>
      </c>
      <c r="H631" s="60">
        <v>0</v>
      </c>
    </row>
    <row r="632" spans="1:8" ht="16" x14ac:dyDescent="0.2">
      <c r="A632" s="46">
        <v>500801</v>
      </c>
      <c r="B632" s="47" t="s">
        <v>1288</v>
      </c>
      <c r="C632" s="47" t="s">
        <v>1289</v>
      </c>
      <c r="D632" s="45">
        <v>0</v>
      </c>
      <c r="E632" s="45">
        <v>0</v>
      </c>
      <c r="F632" s="45">
        <v>0</v>
      </c>
      <c r="G632" s="45">
        <v>0</v>
      </c>
      <c r="H632" s="60">
        <v>0</v>
      </c>
    </row>
    <row r="633" spans="1:8" ht="16" x14ac:dyDescent="0.2">
      <c r="A633" s="46">
        <v>500801</v>
      </c>
      <c r="B633" s="47" t="s">
        <v>1290</v>
      </c>
      <c r="C633" s="47" t="s">
        <v>1289</v>
      </c>
      <c r="D633" s="45">
        <v>0</v>
      </c>
      <c r="E633" s="45">
        <v>0</v>
      </c>
      <c r="F633" s="45">
        <v>0</v>
      </c>
      <c r="G633" s="45">
        <v>0</v>
      </c>
      <c r="H633" s="60">
        <v>0</v>
      </c>
    </row>
    <row r="634" spans="1:8" ht="16" x14ac:dyDescent="0.2">
      <c r="A634" s="46">
        <v>500829</v>
      </c>
      <c r="B634" s="47" t="s">
        <v>1291</v>
      </c>
      <c r="C634" s="47" t="s">
        <v>1292</v>
      </c>
      <c r="D634" s="45">
        <v>0</v>
      </c>
      <c r="E634" s="45">
        <v>0</v>
      </c>
      <c r="F634" s="45">
        <v>0</v>
      </c>
      <c r="G634" s="45">
        <v>0</v>
      </c>
      <c r="H634" s="60">
        <v>0</v>
      </c>
    </row>
    <row r="635" spans="1:8" ht="16" x14ac:dyDescent="0.2">
      <c r="A635" s="46">
        <v>500405</v>
      </c>
      <c r="B635" s="47" t="s">
        <v>1293</v>
      </c>
      <c r="C635" s="47" t="s">
        <v>1294</v>
      </c>
      <c r="D635" s="45">
        <v>0</v>
      </c>
      <c r="E635" s="45">
        <v>0</v>
      </c>
      <c r="F635" s="45">
        <v>0</v>
      </c>
      <c r="G635" s="45">
        <v>0</v>
      </c>
      <c r="H635" s="60">
        <v>0</v>
      </c>
    </row>
    <row r="636" spans="1:8" ht="16" x14ac:dyDescent="0.2">
      <c r="A636" s="46">
        <v>500414</v>
      </c>
      <c r="B636" s="47" t="s">
        <v>1295</v>
      </c>
      <c r="C636" s="47" t="s">
        <v>1296</v>
      </c>
      <c r="D636" s="45">
        <v>0</v>
      </c>
      <c r="E636" s="45">
        <v>0</v>
      </c>
      <c r="F636" s="45">
        <v>0</v>
      </c>
      <c r="G636" s="45">
        <v>0</v>
      </c>
      <c r="H636" s="60">
        <v>0</v>
      </c>
    </row>
    <row r="637" spans="1:8" ht="16" x14ac:dyDescent="0.2">
      <c r="A637" s="46">
        <v>500419</v>
      </c>
      <c r="B637" s="47" t="s">
        <v>1297</v>
      </c>
      <c r="C637" s="47" t="s">
        <v>1298</v>
      </c>
      <c r="D637" s="45">
        <v>0</v>
      </c>
      <c r="E637" s="45">
        <v>0</v>
      </c>
      <c r="F637" s="45">
        <v>0</v>
      </c>
      <c r="G637" s="45">
        <v>0</v>
      </c>
      <c r="H637" s="60">
        <v>0</v>
      </c>
    </row>
    <row r="638" spans="1:8" ht="16" x14ac:dyDescent="0.2">
      <c r="A638" s="46">
        <v>500411</v>
      </c>
      <c r="B638" s="47" t="s">
        <v>1299</v>
      </c>
      <c r="C638" s="47" t="s">
        <v>1300</v>
      </c>
      <c r="D638" s="45">
        <v>0</v>
      </c>
      <c r="E638" s="45">
        <v>0</v>
      </c>
      <c r="F638" s="45">
        <v>0</v>
      </c>
      <c r="G638" s="45">
        <v>0</v>
      </c>
      <c r="H638" s="60">
        <v>0</v>
      </c>
    </row>
    <row r="639" spans="1:8" ht="16" x14ac:dyDescent="0.2">
      <c r="A639" s="46">
        <v>500423</v>
      </c>
      <c r="B639" s="47" t="s">
        <v>1301</v>
      </c>
      <c r="C639" s="47" t="s">
        <v>1302</v>
      </c>
      <c r="D639" s="45">
        <v>0</v>
      </c>
      <c r="E639" s="45">
        <v>0</v>
      </c>
      <c r="F639" s="45">
        <v>0</v>
      </c>
      <c r="G639" s="45">
        <v>0</v>
      </c>
      <c r="H639" s="60">
        <v>0</v>
      </c>
    </row>
    <row r="640" spans="1:8" ht="16" x14ac:dyDescent="0.2">
      <c r="A640" s="46">
        <v>500422</v>
      </c>
      <c r="B640" s="47" t="s">
        <v>1303</v>
      </c>
      <c r="C640" s="47" t="s">
        <v>1304</v>
      </c>
      <c r="D640" s="45">
        <v>0</v>
      </c>
      <c r="E640" s="45">
        <v>0</v>
      </c>
      <c r="F640" s="45">
        <v>0</v>
      </c>
      <c r="G640" s="45">
        <v>0</v>
      </c>
      <c r="H640" s="60">
        <v>0</v>
      </c>
    </row>
    <row r="641" spans="1:8" ht="16" x14ac:dyDescent="0.2">
      <c r="A641" s="46">
        <v>500417</v>
      </c>
      <c r="B641" s="47" t="s">
        <v>1305</v>
      </c>
      <c r="C641" s="47" t="s">
        <v>1306</v>
      </c>
      <c r="D641" s="45">
        <v>0</v>
      </c>
      <c r="E641" s="45">
        <v>0</v>
      </c>
      <c r="F641" s="45">
        <v>0</v>
      </c>
      <c r="G641" s="45">
        <v>0</v>
      </c>
      <c r="H641" s="60">
        <v>0</v>
      </c>
    </row>
    <row r="642" spans="1:8" ht="16" x14ac:dyDescent="0.2">
      <c r="A642" s="46">
        <v>500415</v>
      </c>
      <c r="B642" s="47" t="s">
        <v>1307</v>
      </c>
      <c r="C642" s="47" t="s">
        <v>1308</v>
      </c>
      <c r="D642" s="45">
        <v>0</v>
      </c>
      <c r="E642" s="45">
        <v>0</v>
      </c>
      <c r="F642" s="45">
        <v>0</v>
      </c>
      <c r="G642" s="45">
        <v>0</v>
      </c>
      <c r="H642" s="60">
        <v>0</v>
      </c>
    </row>
    <row r="643" spans="1:8" ht="16" x14ac:dyDescent="0.2">
      <c r="A643" s="46">
        <v>500404</v>
      </c>
      <c r="B643" s="47" t="s">
        <v>1309</v>
      </c>
      <c r="C643" s="47" t="s">
        <v>1310</v>
      </c>
      <c r="D643" s="45">
        <v>0</v>
      </c>
      <c r="E643" s="45">
        <v>0</v>
      </c>
      <c r="F643" s="45">
        <v>0</v>
      </c>
      <c r="G643" s="45">
        <v>0</v>
      </c>
      <c r="H643" s="60">
        <v>0</v>
      </c>
    </row>
    <row r="644" spans="1:8" ht="16" x14ac:dyDescent="0.2">
      <c r="A644" s="46">
        <v>500407</v>
      </c>
      <c r="B644" s="47" t="s">
        <v>1311</v>
      </c>
      <c r="C644" s="47" t="s">
        <v>1312</v>
      </c>
      <c r="D644" s="45">
        <v>0</v>
      </c>
      <c r="E644" s="45">
        <v>0</v>
      </c>
      <c r="F644" s="45">
        <v>0</v>
      </c>
      <c r="G644" s="45">
        <v>0</v>
      </c>
      <c r="H644" s="60">
        <v>0</v>
      </c>
    </row>
    <row r="645" spans="1:8" ht="16" x14ac:dyDescent="0.2">
      <c r="A645" s="46">
        <v>500416</v>
      </c>
      <c r="B645" s="47" t="s">
        <v>1313</v>
      </c>
      <c r="C645" s="47" t="s">
        <v>1314</v>
      </c>
      <c r="D645" s="45">
        <v>0</v>
      </c>
      <c r="E645" s="45">
        <v>0</v>
      </c>
      <c r="F645" s="45">
        <v>0</v>
      </c>
      <c r="G645" s="45">
        <v>0</v>
      </c>
      <c r="H645" s="60">
        <v>0</v>
      </c>
    </row>
    <row r="646" spans="1:8" ht="16" x14ac:dyDescent="0.2">
      <c r="A646" s="46">
        <v>500424</v>
      </c>
      <c r="B646" s="47" t="s">
        <v>1315</v>
      </c>
      <c r="C646" s="47" t="s">
        <v>1316</v>
      </c>
      <c r="D646" s="45">
        <v>0</v>
      </c>
      <c r="E646" s="45">
        <v>0</v>
      </c>
      <c r="F646" s="45">
        <v>0</v>
      </c>
      <c r="G646" s="45">
        <v>0</v>
      </c>
      <c r="H646" s="60">
        <v>0</v>
      </c>
    </row>
    <row r="647" spans="1:8" ht="16" x14ac:dyDescent="0.2">
      <c r="A647" s="46">
        <v>500420</v>
      </c>
      <c r="B647" s="47" t="s">
        <v>1317</v>
      </c>
      <c r="C647" s="47" t="s">
        <v>1318</v>
      </c>
      <c r="D647" s="45">
        <v>0</v>
      </c>
      <c r="E647" s="45">
        <v>0</v>
      </c>
      <c r="F647" s="45">
        <v>0</v>
      </c>
      <c r="G647" s="45">
        <v>0</v>
      </c>
      <c r="H647" s="60">
        <v>0</v>
      </c>
    </row>
    <row r="648" spans="1:8" ht="16" x14ac:dyDescent="0.2">
      <c r="A648" s="46">
        <v>500403</v>
      </c>
      <c r="B648" s="47" t="s">
        <v>1319</v>
      </c>
      <c r="C648" s="47" t="s">
        <v>1320</v>
      </c>
      <c r="D648" s="45">
        <v>0</v>
      </c>
      <c r="E648" s="45">
        <v>0</v>
      </c>
      <c r="F648" s="45">
        <v>0</v>
      </c>
      <c r="G648" s="45">
        <v>0</v>
      </c>
      <c r="H648" s="60">
        <v>0</v>
      </c>
    </row>
    <row r="649" spans="1:8" ht="16" x14ac:dyDescent="0.2">
      <c r="A649" s="46">
        <v>500402</v>
      </c>
      <c r="B649" s="47" t="s">
        <v>1321</v>
      </c>
      <c r="C649" s="47" t="s">
        <v>1322</v>
      </c>
      <c r="D649" s="45">
        <v>0</v>
      </c>
      <c r="E649" s="45">
        <v>0</v>
      </c>
      <c r="F649" s="45">
        <v>0</v>
      </c>
      <c r="G649" s="45">
        <v>0</v>
      </c>
      <c r="H649" s="60">
        <v>0</v>
      </c>
    </row>
    <row r="650" spans="1:8" ht="16" x14ac:dyDescent="0.2">
      <c r="A650" s="46">
        <v>500421</v>
      </c>
      <c r="B650" s="47" t="s">
        <v>1323</v>
      </c>
      <c r="C650" s="47" t="s">
        <v>1324</v>
      </c>
      <c r="D650" s="45">
        <v>0</v>
      </c>
      <c r="E650" s="45">
        <v>0</v>
      </c>
      <c r="F650" s="45">
        <v>0</v>
      </c>
      <c r="G650" s="45">
        <v>0</v>
      </c>
      <c r="H650" s="60">
        <v>0</v>
      </c>
    </row>
    <row r="651" spans="1:8" ht="16" x14ac:dyDescent="0.2">
      <c r="A651" s="46">
        <v>500406</v>
      </c>
      <c r="B651" s="47" t="s">
        <v>1325</v>
      </c>
      <c r="C651" s="47" t="s">
        <v>1326</v>
      </c>
      <c r="D651" s="45">
        <v>0</v>
      </c>
      <c r="E651" s="45">
        <v>0</v>
      </c>
      <c r="F651" s="45">
        <v>0</v>
      </c>
      <c r="G651" s="45">
        <v>0</v>
      </c>
      <c r="H651" s="60">
        <v>0</v>
      </c>
    </row>
    <row r="652" spans="1:8" ht="16" x14ac:dyDescent="0.2">
      <c r="A652" s="46">
        <v>500408</v>
      </c>
      <c r="B652" s="47" t="s">
        <v>1327</v>
      </c>
      <c r="C652" s="47" t="s">
        <v>1328</v>
      </c>
      <c r="D652" s="45">
        <v>0</v>
      </c>
      <c r="E652" s="45">
        <v>0</v>
      </c>
      <c r="F652" s="45">
        <v>0</v>
      </c>
      <c r="G652" s="45">
        <v>0</v>
      </c>
      <c r="H652" s="60">
        <v>0</v>
      </c>
    </row>
    <row r="653" spans="1:8" ht="16" x14ac:dyDescent="0.2">
      <c r="A653" s="46">
        <v>500413</v>
      </c>
      <c r="B653" s="47" t="s">
        <v>1329</v>
      </c>
      <c r="C653" s="47" t="s">
        <v>1330</v>
      </c>
      <c r="D653" s="45">
        <v>0</v>
      </c>
      <c r="E653" s="45">
        <v>0</v>
      </c>
      <c r="F653" s="45">
        <v>0</v>
      </c>
      <c r="G653" s="45">
        <v>0</v>
      </c>
      <c r="H653" s="60">
        <v>0</v>
      </c>
    </row>
    <row r="654" spans="1:8" ht="16" x14ac:dyDescent="0.2">
      <c r="A654" s="46">
        <v>500418</v>
      </c>
      <c r="B654" s="47" t="s">
        <v>1331</v>
      </c>
      <c r="C654" s="47" t="s">
        <v>1332</v>
      </c>
      <c r="D654" s="45">
        <v>0</v>
      </c>
      <c r="E654" s="45">
        <v>0</v>
      </c>
      <c r="F654" s="45">
        <v>0</v>
      </c>
      <c r="G654" s="45">
        <v>0</v>
      </c>
      <c r="H654" s="60">
        <v>0</v>
      </c>
    </row>
    <row r="655" spans="1:8" ht="16" x14ac:dyDescent="0.2">
      <c r="A655" s="46">
        <v>500800</v>
      </c>
      <c r="B655" s="47" t="s">
        <v>1333</v>
      </c>
      <c r="C655" s="47" t="s">
        <v>1334</v>
      </c>
      <c r="D655" s="45">
        <v>0</v>
      </c>
      <c r="E655" s="45">
        <v>0</v>
      </c>
      <c r="F655" s="45">
        <v>0</v>
      </c>
      <c r="G655" s="45">
        <v>0</v>
      </c>
      <c r="H655" s="60">
        <v>0</v>
      </c>
    </row>
    <row r="656" spans="1:8" ht="16" x14ac:dyDescent="0.2">
      <c r="A656" s="46">
        <v>999999</v>
      </c>
      <c r="B656" s="47" t="s">
        <v>1335</v>
      </c>
      <c r="C656" s="47" t="s">
        <v>1279</v>
      </c>
      <c r="D656" s="45">
        <v>0</v>
      </c>
      <c r="E656" s="45">
        <v>0</v>
      </c>
      <c r="F656" s="45">
        <v>0</v>
      </c>
      <c r="G656" s="45">
        <v>0</v>
      </c>
      <c r="H656" s="60">
        <v>0</v>
      </c>
    </row>
    <row r="657" spans="1:8" ht="16" x14ac:dyDescent="0.2">
      <c r="A657" s="46">
        <v>500104</v>
      </c>
      <c r="B657" s="47" t="s">
        <v>1336</v>
      </c>
      <c r="C657" s="47" t="s">
        <v>1337</v>
      </c>
      <c r="D657" s="45">
        <v>0</v>
      </c>
      <c r="E657" s="45">
        <v>0</v>
      </c>
      <c r="F657" s="45">
        <v>0</v>
      </c>
      <c r="G657" s="45">
        <v>0</v>
      </c>
      <c r="H657" s="60">
        <v>0</v>
      </c>
    </row>
    <row r="658" spans="1:8" ht="16" x14ac:dyDescent="0.2">
      <c r="A658" s="46">
        <v>500641</v>
      </c>
      <c r="B658" s="47" t="s">
        <v>1338</v>
      </c>
      <c r="C658" s="47" t="s">
        <v>1339</v>
      </c>
      <c r="D658" s="45">
        <v>0</v>
      </c>
      <c r="E658" s="45">
        <v>0</v>
      </c>
      <c r="F658" s="45">
        <v>0</v>
      </c>
      <c r="G658" s="45">
        <v>0</v>
      </c>
      <c r="H658" s="60">
        <v>0</v>
      </c>
    </row>
    <row r="659" spans="1:8" ht="16" x14ac:dyDescent="0.2">
      <c r="A659" s="46">
        <v>500631</v>
      </c>
      <c r="B659" s="47" t="s">
        <v>1340</v>
      </c>
      <c r="C659" s="47" t="s">
        <v>1341</v>
      </c>
      <c r="D659" s="45">
        <v>0</v>
      </c>
      <c r="E659" s="45">
        <v>0</v>
      </c>
      <c r="F659" s="45">
        <v>0</v>
      </c>
      <c r="G659" s="45">
        <v>0</v>
      </c>
      <c r="H659" s="60">
        <v>0</v>
      </c>
    </row>
    <row r="660" spans="1:8" ht="16" x14ac:dyDescent="0.2">
      <c r="A660" s="46">
        <v>500648</v>
      </c>
      <c r="B660" s="47" t="s">
        <v>1342</v>
      </c>
      <c r="C660" s="47" t="s">
        <v>1343</v>
      </c>
      <c r="D660" s="45">
        <v>0</v>
      </c>
      <c r="E660" s="45">
        <v>0</v>
      </c>
      <c r="F660" s="45">
        <v>0</v>
      </c>
      <c r="G660" s="45">
        <v>0</v>
      </c>
      <c r="H660" s="60">
        <v>0</v>
      </c>
    </row>
    <row r="661" spans="1:8" ht="16" x14ac:dyDescent="0.2">
      <c r="A661" s="46">
        <v>500108</v>
      </c>
      <c r="B661" s="47" t="s">
        <v>1344</v>
      </c>
      <c r="C661" s="47" t="s">
        <v>1345</v>
      </c>
      <c r="D661" s="45">
        <v>0</v>
      </c>
      <c r="E661" s="45">
        <v>0</v>
      </c>
      <c r="F661" s="45">
        <v>0</v>
      </c>
      <c r="G661" s="45">
        <v>0</v>
      </c>
      <c r="H661" s="60">
        <v>0</v>
      </c>
    </row>
    <row r="662" spans="1:8" ht="16" x14ac:dyDescent="0.2">
      <c r="A662" s="46">
        <v>500736</v>
      </c>
      <c r="B662" s="47" t="s">
        <v>1346</v>
      </c>
      <c r="C662" s="47" t="s">
        <v>1347</v>
      </c>
      <c r="D662" s="45">
        <v>0</v>
      </c>
      <c r="E662" s="45">
        <v>0</v>
      </c>
      <c r="F662" s="45">
        <v>0</v>
      </c>
      <c r="G662" s="45">
        <v>0</v>
      </c>
      <c r="H662" s="60">
        <v>0</v>
      </c>
    </row>
    <row r="663" spans="1:8" ht="16" x14ac:dyDescent="0.2">
      <c r="A663" s="46">
        <v>500872</v>
      </c>
      <c r="B663" s="47" t="s">
        <v>1348</v>
      </c>
      <c r="C663" s="47" t="s">
        <v>1349</v>
      </c>
      <c r="D663" s="45">
        <v>0</v>
      </c>
      <c r="E663" s="45">
        <v>0</v>
      </c>
      <c r="F663" s="45">
        <v>0</v>
      </c>
      <c r="G663" s="45">
        <v>0</v>
      </c>
      <c r="H663" s="60">
        <v>0</v>
      </c>
    </row>
    <row r="664" spans="1:8" ht="16" x14ac:dyDescent="0.2">
      <c r="A664" s="46">
        <v>500016</v>
      </c>
      <c r="B664" s="47" t="s">
        <v>1350</v>
      </c>
      <c r="C664" s="47" t="s">
        <v>1351</v>
      </c>
      <c r="D664" s="45">
        <v>0</v>
      </c>
      <c r="E664" s="45">
        <v>0</v>
      </c>
      <c r="F664" s="45">
        <v>0</v>
      </c>
      <c r="G664" s="45">
        <v>0</v>
      </c>
      <c r="H664" s="60">
        <v>0</v>
      </c>
    </row>
    <row r="665" spans="1:8" ht="16" x14ac:dyDescent="0.2">
      <c r="A665" s="46">
        <v>500824</v>
      </c>
      <c r="B665" s="47" t="s">
        <v>1352</v>
      </c>
      <c r="C665" s="47" t="s">
        <v>1353</v>
      </c>
      <c r="D665" s="45">
        <v>0</v>
      </c>
      <c r="E665" s="45">
        <v>0</v>
      </c>
      <c r="F665" s="45">
        <v>0</v>
      </c>
      <c r="G665" s="45">
        <v>0</v>
      </c>
      <c r="H665" s="60">
        <v>0</v>
      </c>
    </row>
    <row r="666" spans="1:8" ht="16" x14ac:dyDescent="0.2">
      <c r="A666" s="46">
        <v>999999</v>
      </c>
      <c r="B666" s="47" t="s">
        <v>1354</v>
      </c>
      <c r="C666" s="47" t="s">
        <v>1279</v>
      </c>
      <c r="D666" s="45">
        <v>0</v>
      </c>
      <c r="E666" s="45">
        <v>0</v>
      </c>
      <c r="F666" s="45">
        <v>0</v>
      </c>
      <c r="G666" s="45">
        <v>0</v>
      </c>
      <c r="H666" s="60">
        <v>0</v>
      </c>
    </row>
    <row r="667" spans="1:8" ht="16" x14ac:dyDescent="0.2">
      <c r="A667" s="46">
        <v>500647</v>
      </c>
      <c r="B667" s="47" t="s">
        <v>1355</v>
      </c>
      <c r="C667" s="47" t="s">
        <v>1356</v>
      </c>
      <c r="D667" s="45">
        <v>0</v>
      </c>
      <c r="E667" s="45">
        <v>0</v>
      </c>
      <c r="F667" s="45">
        <v>0</v>
      </c>
      <c r="G667" s="45">
        <v>0</v>
      </c>
      <c r="H667" s="60">
        <v>0</v>
      </c>
    </row>
    <row r="668" spans="1:8" ht="16" x14ac:dyDescent="0.2">
      <c r="A668" s="46">
        <v>500948</v>
      </c>
      <c r="B668" s="47" t="s">
        <v>1357</v>
      </c>
      <c r="C668" s="47" t="s">
        <v>1358</v>
      </c>
      <c r="D668" s="45">
        <v>0</v>
      </c>
      <c r="E668" s="45">
        <v>0</v>
      </c>
      <c r="F668" s="45">
        <v>0</v>
      </c>
      <c r="G668" s="45">
        <v>0</v>
      </c>
      <c r="H668" s="60">
        <v>0</v>
      </c>
    </row>
    <row r="669" spans="1:8" ht="16" x14ac:dyDescent="0.2">
      <c r="A669" s="46">
        <v>500733</v>
      </c>
      <c r="B669" s="47" t="s">
        <v>1359</v>
      </c>
      <c r="C669" s="47" t="s">
        <v>1360</v>
      </c>
      <c r="D669" s="45">
        <v>0</v>
      </c>
      <c r="E669" s="45">
        <v>0</v>
      </c>
      <c r="F669" s="45">
        <v>0</v>
      </c>
      <c r="G669" s="45">
        <v>0</v>
      </c>
      <c r="H669" s="60">
        <v>0</v>
      </c>
    </row>
    <row r="670" spans="1:8" ht="16" x14ac:dyDescent="0.2">
      <c r="A670" s="46">
        <v>500802</v>
      </c>
      <c r="B670" s="47" t="s">
        <v>1361</v>
      </c>
      <c r="C670" s="47" t="s">
        <v>1362</v>
      </c>
      <c r="D670" s="45">
        <v>0</v>
      </c>
      <c r="E670" s="45">
        <v>0</v>
      </c>
      <c r="F670" s="45">
        <v>0</v>
      </c>
      <c r="G670" s="45">
        <v>0</v>
      </c>
      <c r="H670" s="60">
        <v>0</v>
      </c>
    </row>
    <row r="671" spans="1:8" ht="16" x14ac:dyDescent="0.2">
      <c r="A671" s="46">
        <v>500836</v>
      </c>
      <c r="B671" s="47" t="s">
        <v>1363</v>
      </c>
      <c r="C671" s="47" t="s">
        <v>1364</v>
      </c>
      <c r="D671" s="45">
        <v>0</v>
      </c>
      <c r="E671" s="45">
        <v>0</v>
      </c>
      <c r="F671" s="45">
        <v>0</v>
      </c>
      <c r="G671" s="45">
        <v>0</v>
      </c>
      <c r="H671" s="60">
        <v>0</v>
      </c>
    </row>
    <row r="672" spans="1:8" ht="16" x14ac:dyDescent="0.2">
      <c r="A672" s="46">
        <v>500870</v>
      </c>
      <c r="B672" s="47" t="s">
        <v>1365</v>
      </c>
      <c r="C672" s="47" t="s">
        <v>1366</v>
      </c>
      <c r="D672" s="45">
        <v>0</v>
      </c>
      <c r="E672" s="45">
        <v>0</v>
      </c>
      <c r="F672" s="45">
        <v>0</v>
      </c>
      <c r="G672" s="45">
        <v>0</v>
      </c>
      <c r="H672" s="60">
        <v>0</v>
      </c>
    </row>
    <row r="673" spans="1:8" ht="16" x14ac:dyDescent="0.2">
      <c r="A673" s="46">
        <v>500902</v>
      </c>
      <c r="B673" s="47" t="s">
        <v>1367</v>
      </c>
      <c r="C673" s="47" t="s">
        <v>1368</v>
      </c>
      <c r="D673" s="45">
        <v>0</v>
      </c>
      <c r="E673" s="45">
        <v>0</v>
      </c>
      <c r="F673" s="45">
        <v>0</v>
      </c>
      <c r="G673" s="45">
        <v>0</v>
      </c>
      <c r="H673" s="60">
        <v>0</v>
      </c>
    </row>
    <row r="674" spans="1:8" ht="16" x14ac:dyDescent="0.2">
      <c r="A674" s="46">
        <v>500615</v>
      </c>
      <c r="B674" s="47" t="s">
        <v>1369</v>
      </c>
      <c r="C674" s="47" t="s">
        <v>1370</v>
      </c>
      <c r="D674" s="45">
        <v>0</v>
      </c>
      <c r="E674" s="45">
        <v>0</v>
      </c>
      <c r="F674" s="45">
        <v>0</v>
      </c>
      <c r="G674" s="45">
        <v>0</v>
      </c>
      <c r="H674" s="60">
        <v>0</v>
      </c>
    </row>
    <row r="675" spans="1:8" ht="16" x14ac:dyDescent="0.2">
      <c r="A675" s="46">
        <v>500603</v>
      </c>
      <c r="B675" s="47" t="s">
        <v>1371</v>
      </c>
      <c r="C675" s="47" t="s">
        <v>1372</v>
      </c>
      <c r="D675" s="45">
        <v>0</v>
      </c>
      <c r="E675" s="45">
        <v>0</v>
      </c>
      <c r="F675" s="45">
        <v>0</v>
      </c>
      <c r="G675" s="45">
        <v>0</v>
      </c>
      <c r="H675" s="60">
        <v>0</v>
      </c>
    </row>
    <row r="676" spans="1:8" ht="16" x14ac:dyDescent="0.2">
      <c r="A676" s="46">
        <v>500605</v>
      </c>
      <c r="B676" s="47" t="s">
        <v>1373</v>
      </c>
      <c r="C676" s="47" t="s">
        <v>1374</v>
      </c>
      <c r="D676" s="45">
        <v>0</v>
      </c>
      <c r="E676" s="45">
        <v>0</v>
      </c>
      <c r="F676" s="45">
        <v>0</v>
      </c>
      <c r="G676" s="45">
        <v>0</v>
      </c>
      <c r="H676" s="60">
        <v>0</v>
      </c>
    </row>
    <row r="677" spans="1:8" ht="16" x14ac:dyDescent="0.2">
      <c r="A677" s="46">
        <v>500601</v>
      </c>
      <c r="B677" s="47" t="s">
        <v>1375</v>
      </c>
      <c r="C677" s="47" t="s">
        <v>1376</v>
      </c>
      <c r="D677" s="45">
        <v>0</v>
      </c>
      <c r="E677" s="45">
        <v>0</v>
      </c>
      <c r="F677" s="45">
        <v>0</v>
      </c>
      <c r="G677" s="45">
        <v>0</v>
      </c>
      <c r="H677" s="60">
        <v>0</v>
      </c>
    </row>
    <row r="678" spans="1:8" ht="16" x14ac:dyDescent="0.2">
      <c r="A678" s="46">
        <v>500021</v>
      </c>
      <c r="B678" s="47" t="s">
        <v>1377</v>
      </c>
      <c r="C678" s="47" t="s">
        <v>1378</v>
      </c>
      <c r="D678" s="45">
        <v>0</v>
      </c>
      <c r="E678" s="45">
        <v>0</v>
      </c>
      <c r="F678" s="45">
        <v>0</v>
      </c>
      <c r="G678" s="45">
        <v>0</v>
      </c>
      <c r="H678" s="60">
        <v>0</v>
      </c>
    </row>
    <row r="679" spans="1:8" ht="16" x14ac:dyDescent="0.2">
      <c r="A679" s="46">
        <v>500649</v>
      </c>
      <c r="B679" s="47" t="s">
        <v>1379</v>
      </c>
      <c r="C679" s="47" t="s">
        <v>1380</v>
      </c>
      <c r="D679" s="45">
        <v>0</v>
      </c>
      <c r="E679" s="45">
        <v>0</v>
      </c>
      <c r="F679" s="45">
        <v>0</v>
      </c>
      <c r="G679" s="45">
        <v>0</v>
      </c>
      <c r="H679" s="60">
        <v>0</v>
      </c>
    </row>
    <row r="680" spans="1:8" ht="16" x14ac:dyDescent="0.2">
      <c r="A680" s="46">
        <v>500219</v>
      </c>
      <c r="B680" s="47" t="s">
        <v>1381</v>
      </c>
      <c r="C680" s="47" t="s">
        <v>1382</v>
      </c>
      <c r="D680" s="45">
        <v>0</v>
      </c>
      <c r="E680" s="45">
        <v>0</v>
      </c>
      <c r="F680" s="45">
        <v>0</v>
      </c>
      <c r="G680" s="45">
        <v>0</v>
      </c>
      <c r="H680" s="60">
        <v>0</v>
      </c>
    </row>
    <row r="681" spans="1:8" ht="16" x14ac:dyDescent="0.2">
      <c r="A681" s="46">
        <v>500848</v>
      </c>
      <c r="B681" s="47" t="s">
        <v>1383</v>
      </c>
      <c r="C681" s="47" t="s">
        <v>1384</v>
      </c>
      <c r="D681" s="45">
        <v>0</v>
      </c>
      <c r="E681" s="45">
        <v>0</v>
      </c>
      <c r="F681" s="45">
        <v>0</v>
      </c>
      <c r="G681" s="45">
        <v>0</v>
      </c>
      <c r="H681" s="60">
        <v>0</v>
      </c>
    </row>
    <row r="682" spans="1:8" ht="16" x14ac:dyDescent="0.2">
      <c r="A682" s="46">
        <v>500834</v>
      </c>
      <c r="B682" s="47" t="s">
        <v>1385</v>
      </c>
      <c r="C682" s="47" t="s">
        <v>1386</v>
      </c>
      <c r="D682" s="45">
        <v>0</v>
      </c>
      <c r="E682" s="45">
        <v>0</v>
      </c>
      <c r="F682" s="45">
        <v>0</v>
      </c>
      <c r="G682" s="45">
        <v>0</v>
      </c>
      <c r="H682" s="60">
        <v>0</v>
      </c>
    </row>
    <row r="683" spans="1:8" ht="16" x14ac:dyDescent="0.2">
      <c r="A683" s="46">
        <v>500193</v>
      </c>
      <c r="B683" s="47" t="s">
        <v>1387</v>
      </c>
      <c r="C683" s="47" t="s">
        <v>1388</v>
      </c>
      <c r="D683" s="45">
        <v>0</v>
      </c>
      <c r="E683" s="45">
        <v>0</v>
      </c>
      <c r="F683" s="45">
        <v>0</v>
      </c>
      <c r="G683" s="45">
        <v>0</v>
      </c>
      <c r="H683" s="60">
        <v>0</v>
      </c>
    </row>
    <row r="684" spans="1:8" ht="16" x14ac:dyDescent="0.2">
      <c r="A684" s="46">
        <v>500891</v>
      </c>
      <c r="B684" s="47" t="s">
        <v>1389</v>
      </c>
      <c r="C684" s="47" t="s">
        <v>1390</v>
      </c>
      <c r="D684" s="45">
        <v>0</v>
      </c>
      <c r="E684" s="45">
        <v>0</v>
      </c>
      <c r="F684" s="45">
        <v>0</v>
      </c>
      <c r="G684" s="45">
        <v>0</v>
      </c>
      <c r="H684" s="60">
        <v>0</v>
      </c>
    </row>
    <row r="685" spans="1:8" ht="16" x14ac:dyDescent="0.2">
      <c r="A685" s="46">
        <v>500637</v>
      </c>
      <c r="B685" s="47" t="s">
        <v>1391</v>
      </c>
      <c r="C685" s="47" t="s">
        <v>1392</v>
      </c>
      <c r="D685" s="45">
        <v>0</v>
      </c>
      <c r="E685" s="45">
        <v>0</v>
      </c>
      <c r="F685" s="45">
        <v>0</v>
      </c>
      <c r="G685" s="45">
        <v>0</v>
      </c>
      <c r="H685" s="60">
        <v>0</v>
      </c>
    </row>
    <row r="686" spans="1:8" ht="16" x14ac:dyDescent="0.2">
      <c r="A686" s="46">
        <v>500636</v>
      </c>
      <c r="B686" s="47" t="s">
        <v>1393</v>
      </c>
      <c r="C686" s="47" t="s">
        <v>1394</v>
      </c>
      <c r="D686" s="45">
        <v>0</v>
      </c>
      <c r="E686" s="45">
        <v>0</v>
      </c>
      <c r="F686" s="45">
        <v>0</v>
      </c>
      <c r="G686" s="45">
        <v>0</v>
      </c>
      <c r="H686" s="60">
        <v>0</v>
      </c>
    </row>
    <row r="687" spans="1:8" ht="16" x14ac:dyDescent="0.2">
      <c r="A687" s="46">
        <v>500048</v>
      </c>
      <c r="B687" s="47" t="s">
        <v>1395</v>
      </c>
      <c r="C687" s="47" t="s">
        <v>1396</v>
      </c>
      <c r="D687" s="45">
        <v>0</v>
      </c>
      <c r="E687" s="45">
        <v>0</v>
      </c>
      <c r="F687" s="45">
        <v>0</v>
      </c>
      <c r="G687" s="45">
        <v>0</v>
      </c>
      <c r="H687" s="60">
        <v>0</v>
      </c>
    </row>
    <row r="688" spans="1:8" ht="16" x14ac:dyDescent="0.2">
      <c r="A688" s="46">
        <v>500860</v>
      </c>
      <c r="B688" s="47" t="s">
        <v>1397</v>
      </c>
      <c r="C688" s="47" t="s">
        <v>1398</v>
      </c>
      <c r="D688" s="45">
        <v>0</v>
      </c>
      <c r="E688" s="45">
        <v>0</v>
      </c>
      <c r="F688" s="45">
        <v>0</v>
      </c>
      <c r="G688" s="45">
        <v>0</v>
      </c>
      <c r="H688" s="60">
        <v>0</v>
      </c>
    </row>
    <row r="689" spans="1:8" ht="16" x14ac:dyDescent="0.2">
      <c r="A689" s="46">
        <v>500927</v>
      </c>
      <c r="B689" s="47" t="s">
        <v>1399</v>
      </c>
      <c r="C689" s="47" t="s">
        <v>1400</v>
      </c>
      <c r="D689" s="45">
        <v>0</v>
      </c>
      <c r="E689" s="45">
        <v>0</v>
      </c>
      <c r="F689" s="45">
        <v>0</v>
      </c>
      <c r="G689" s="45">
        <v>0</v>
      </c>
      <c r="H689" s="60">
        <v>0</v>
      </c>
    </row>
    <row r="690" spans="1:8" ht="16" x14ac:dyDescent="0.2">
      <c r="A690" s="46">
        <v>500650</v>
      </c>
      <c r="B690" s="47" t="s">
        <v>1401</v>
      </c>
      <c r="C690" s="47" t="s">
        <v>1402</v>
      </c>
      <c r="D690" s="45">
        <v>0</v>
      </c>
      <c r="E690" s="45">
        <v>0</v>
      </c>
      <c r="F690" s="45">
        <v>0</v>
      </c>
      <c r="G690" s="45">
        <v>0</v>
      </c>
      <c r="H690" s="60">
        <v>0</v>
      </c>
    </row>
    <row r="691" spans="1:8" ht="32" x14ac:dyDescent="0.2">
      <c r="A691" s="46">
        <v>500757</v>
      </c>
      <c r="B691" s="47" t="s">
        <v>1403</v>
      </c>
      <c r="C691" s="47" t="s">
        <v>1404</v>
      </c>
      <c r="D691" s="45">
        <v>0</v>
      </c>
      <c r="E691" s="45">
        <v>0</v>
      </c>
      <c r="F691" s="45">
        <v>0</v>
      </c>
      <c r="G691" s="45">
        <v>0</v>
      </c>
      <c r="H691" s="60">
        <v>0</v>
      </c>
    </row>
    <row r="692" spans="1:8" ht="16" x14ac:dyDescent="0.2">
      <c r="A692" s="46">
        <v>500758</v>
      </c>
      <c r="B692" s="47" t="s">
        <v>1405</v>
      </c>
      <c r="C692" s="47" t="s">
        <v>1406</v>
      </c>
      <c r="D692" s="45">
        <v>0</v>
      </c>
      <c r="E692" s="45">
        <v>0</v>
      </c>
      <c r="F692" s="45">
        <v>0</v>
      </c>
      <c r="G692" s="45">
        <v>0</v>
      </c>
      <c r="H692" s="60">
        <v>0</v>
      </c>
    </row>
    <row r="693" spans="1:8" ht="16" x14ac:dyDescent="0.2">
      <c r="A693" s="46">
        <v>500697</v>
      </c>
      <c r="B693" s="47" t="s">
        <v>1407</v>
      </c>
      <c r="C693" s="47" t="s">
        <v>1162</v>
      </c>
      <c r="D693" s="45">
        <v>0</v>
      </c>
      <c r="E693" s="45">
        <v>0</v>
      </c>
      <c r="F693" s="45">
        <v>0</v>
      </c>
      <c r="G693" s="45">
        <v>0</v>
      </c>
      <c r="H693" s="60">
        <v>0</v>
      </c>
    </row>
    <row r="694" spans="1:8" ht="16" x14ac:dyDescent="0.2">
      <c r="A694" s="46">
        <v>500814</v>
      </c>
      <c r="B694" s="47" t="s">
        <v>1408</v>
      </c>
      <c r="C694" s="47" t="s">
        <v>1409</v>
      </c>
      <c r="D694" s="45">
        <v>0</v>
      </c>
      <c r="E694" s="45">
        <v>0</v>
      </c>
      <c r="F694" s="45">
        <v>0</v>
      </c>
      <c r="G694" s="45">
        <v>0</v>
      </c>
      <c r="H694" s="60">
        <v>0</v>
      </c>
    </row>
    <row r="695" spans="1:8" ht="16" x14ac:dyDescent="0.2">
      <c r="A695" s="46">
        <v>500961</v>
      </c>
      <c r="B695" s="47" t="s">
        <v>1410</v>
      </c>
      <c r="C695" s="47" t="s">
        <v>1411</v>
      </c>
      <c r="D695" s="45">
        <v>0</v>
      </c>
      <c r="E695" s="45">
        <v>0</v>
      </c>
      <c r="F695" s="45">
        <v>0</v>
      </c>
      <c r="G695" s="45">
        <v>0</v>
      </c>
      <c r="H695" s="60">
        <v>0</v>
      </c>
    </row>
    <row r="696" spans="1:8" ht="16" x14ac:dyDescent="0.2">
      <c r="A696" s="46">
        <v>500958</v>
      </c>
      <c r="B696" s="47" t="s">
        <v>1412</v>
      </c>
      <c r="C696" s="47" t="s">
        <v>1413</v>
      </c>
      <c r="D696" s="45">
        <v>0</v>
      </c>
      <c r="E696" s="45">
        <v>0</v>
      </c>
      <c r="F696" s="45">
        <v>0</v>
      </c>
      <c r="G696" s="45">
        <v>0</v>
      </c>
      <c r="H696" s="60">
        <v>0</v>
      </c>
    </row>
    <row r="697" spans="1:8" ht="16" x14ac:dyDescent="0.2">
      <c r="A697" s="46">
        <v>500955</v>
      </c>
      <c r="B697" s="47" t="s">
        <v>1414</v>
      </c>
      <c r="C697" s="47" t="s">
        <v>1415</v>
      </c>
      <c r="D697" s="45">
        <v>0</v>
      </c>
      <c r="E697" s="45">
        <v>0</v>
      </c>
      <c r="F697" s="45">
        <v>0</v>
      </c>
      <c r="G697" s="45">
        <v>0</v>
      </c>
      <c r="H697" s="60">
        <v>0</v>
      </c>
    </row>
    <row r="698" spans="1:8" ht="16" x14ac:dyDescent="0.2">
      <c r="A698" s="46">
        <v>500956</v>
      </c>
      <c r="B698" s="47" t="s">
        <v>1416</v>
      </c>
      <c r="C698" s="47" t="s">
        <v>1417</v>
      </c>
      <c r="D698" s="45">
        <v>0</v>
      </c>
      <c r="E698" s="45">
        <v>0</v>
      </c>
      <c r="F698" s="45">
        <v>0</v>
      </c>
      <c r="G698" s="45">
        <v>0</v>
      </c>
      <c r="H698" s="60">
        <v>0</v>
      </c>
    </row>
    <row r="699" spans="1:8" ht="16" x14ac:dyDescent="0.2">
      <c r="A699" s="46">
        <v>500951</v>
      </c>
      <c r="B699" s="47" t="s">
        <v>1418</v>
      </c>
      <c r="C699" s="47" t="s">
        <v>1419</v>
      </c>
      <c r="D699" s="45">
        <v>0</v>
      </c>
      <c r="E699" s="45">
        <v>0</v>
      </c>
      <c r="F699" s="45">
        <v>0</v>
      </c>
      <c r="G699" s="45">
        <v>0</v>
      </c>
      <c r="H699" s="60">
        <v>0</v>
      </c>
    </row>
    <row r="700" spans="1:8" ht="16" x14ac:dyDescent="0.2">
      <c r="A700" s="46">
        <v>500952</v>
      </c>
      <c r="B700" s="47" t="s">
        <v>1420</v>
      </c>
      <c r="C700" s="47" t="s">
        <v>1421</v>
      </c>
      <c r="D700" s="45">
        <v>0</v>
      </c>
      <c r="E700" s="45">
        <v>0</v>
      </c>
      <c r="F700" s="45">
        <v>0</v>
      </c>
      <c r="G700" s="45">
        <v>0</v>
      </c>
      <c r="H700" s="60">
        <v>0</v>
      </c>
    </row>
    <row r="701" spans="1:8" ht="16" x14ac:dyDescent="0.2">
      <c r="A701" s="46">
        <v>500759</v>
      </c>
      <c r="B701" s="47" t="s">
        <v>1422</v>
      </c>
      <c r="C701" s="47" t="s">
        <v>1423</v>
      </c>
      <c r="D701" s="45">
        <v>0</v>
      </c>
      <c r="E701" s="45">
        <v>0</v>
      </c>
      <c r="F701" s="45">
        <v>0</v>
      </c>
      <c r="G701" s="45">
        <v>0</v>
      </c>
      <c r="H701" s="60">
        <v>0</v>
      </c>
    </row>
    <row r="702" spans="1:8" ht="16" x14ac:dyDescent="0.2">
      <c r="A702" s="46">
        <v>500222</v>
      </c>
      <c r="B702" s="47" t="s">
        <v>1424</v>
      </c>
      <c r="C702" s="47" t="s">
        <v>1425</v>
      </c>
      <c r="D702" s="45">
        <v>0</v>
      </c>
      <c r="E702" s="45">
        <v>0</v>
      </c>
      <c r="F702" s="45">
        <v>0</v>
      </c>
      <c r="G702" s="45">
        <v>0</v>
      </c>
      <c r="H702" s="60">
        <v>0</v>
      </c>
    </row>
    <row r="703" spans="1:8" ht="16" x14ac:dyDescent="0.2">
      <c r="A703" s="46">
        <v>500760</v>
      </c>
      <c r="B703" s="47" t="s">
        <v>1426</v>
      </c>
      <c r="C703" s="47" t="s">
        <v>1427</v>
      </c>
      <c r="D703" s="45">
        <v>0</v>
      </c>
      <c r="E703" s="45">
        <v>0</v>
      </c>
      <c r="F703" s="45">
        <v>0</v>
      </c>
      <c r="G703" s="45">
        <v>0</v>
      </c>
      <c r="H703" s="60">
        <v>0</v>
      </c>
    </row>
    <row r="704" spans="1:8" ht="16" x14ac:dyDescent="0.2">
      <c r="A704" s="46">
        <v>500762</v>
      </c>
      <c r="B704" s="47" t="s">
        <v>1428</v>
      </c>
      <c r="C704" s="47" t="s">
        <v>1429</v>
      </c>
      <c r="D704" s="45">
        <v>0</v>
      </c>
      <c r="E704" s="45">
        <v>0</v>
      </c>
      <c r="F704" s="45">
        <v>0</v>
      </c>
      <c r="G704" s="45">
        <v>0</v>
      </c>
      <c r="H704" s="60">
        <v>0</v>
      </c>
    </row>
    <row r="705" spans="1:8" ht="16" x14ac:dyDescent="0.2">
      <c r="A705" s="46">
        <v>500979</v>
      </c>
      <c r="B705" s="47" t="s">
        <v>1430</v>
      </c>
      <c r="C705" s="47" t="s">
        <v>1431</v>
      </c>
      <c r="D705" s="45">
        <v>1.893</v>
      </c>
      <c r="E705" s="45">
        <v>0</v>
      </c>
      <c r="F705" s="45">
        <v>0</v>
      </c>
      <c r="G705" s="45">
        <v>0</v>
      </c>
      <c r="H705" s="60">
        <v>0</v>
      </c>
    </row>
    <row r="706" spans="1:8" ht="16" x14ac:dyDescent="0.2">
      <c r="A706" s="46">
        <v>500978</v>
      </c>
      <c r="B706" s="47" t="s">
        <v>1432</v>
      </c>
      <c r="C706" s="47" t="s">
        <v>1433</v>
      </c>
      <c r="D706" s="45">
        <v>0</v>
      </c>
      <c r="E706" s="45">
        <v>0</v>
      </c>
      <c r="F706" s="45">
        <v>0</v>
      </c>
      <c r="G706" s="45">
        <v>0</v>
      </c>
      <c r="H706" s="60">
        <v>0</v>
      </c>
    </row>
    <row r="707" spans="1:8" ht="32" x14ac:dyDescent="0.2">
      <c r="A707" s="46">
        <v>500982</v>
      </c>
      <c r="B707" s="47" t="s">
        <v>1434</v>
      </c>
      <c r="C707" s="47" t="s">
        <v>1435</v>
      </c>
      <c r="D707" s="45">
        <v>0</v>
      </c>
      <c r="E707" s="45">
        <v>0</v>
      </c>
      <c r="F707" s="45">
        <v>0</v>
      </c>
      <c r="G707" s="45">
        <v>0</v>
      </c>
      <c r="H707" s="60">
        <v>0</v>
      </c>
    </row>
    <row r="708" spans="1:8" ht="16" x14ac:dyDescent="0.2">
      <c r="A708" s="46">
        <v>500765</v>
      </c>
      <c r="B708" s="47" t="s">
        <v>1436</v>
      </c>
      <c r="C708" s="47" t="s">
        <v>1437</v>
      </c>
      <c r="D708" s="45">
        <v>0</v>
      </c>
      <c r="E708" s="45">
        <v>0</v>
      </c>
      <c r="F708" s="45">
        <v>0</v>
      </c>
      <c r="G708" s="45">
        <v>0</v>
      </c>
      <c r="H708" s="60">
        <v>0</v>
      </c>
    </row>
    <row r="709" spans="1:8" ht="16" x14ac:dyDescent="0.2">
      <c r="A709" s="46">
        <v>500993</v>
      </c>
      <c r="B709" s="47" t="s">
        <v>1438</v>
      </c>
      <c r="C709" s="47" t="s">
        <v>1439</v>
      </c>
      <c r="D709" s="45">
        <v>0</v>
      </c>
      <c r="E709" s="45">
        <v>0</v>
      </c>
      <c r="F709" s="45">
        <v>0</v>
      </c>
      <c r="G709" s="45">
        <v>0</v>
      </c>
      <c r="H709" s="60">
        <v>0</v>
      </c>
    </row>
    <row r="710" spans="1:8" ht="16" x14ac:dyDescent="0.2">
      <c r="A710" s="46">
        <v>500995</v>
      </c>
      <c r="B710" s="47" t="s">
        <v>1440</v>
      </c>
      <c r="C710" s="47" t="s">
        <v>1441</v>
      </c>
      <c r="D710" s="45">
        <v>0</v>
      </c>
      <c r="E710" s="45">
        <v>0</v>
      </c>
      <c r="F710" s="45">
        <v>0</v>
      </c>
      <c r="G710" s="45">
        <v>0</v>
      </c>
      <c r="H710" s="60">
        <v>0</v>
      </c>
    </row>
    <row r="711" spans="1:8" ht="16" x14ac:dyDescent="0.2">
      <c r="A711" s="46">
        <v>500764</v>
      </c>
      <c r="B711" s="47" t="s">
        <v>1442</v>
      </c>
      <c r="C711" s="47" t="s">
        <v>1443</v>
      </c>
      <c r="D711" s="45">
        <v>0</v>
      </c>
      <c r="E711" s="45">
        <v>0</v>
      </c>
      <c r="F711" s="45">
        <v>0</v>
      </c>
      <c r="G711" s="45">
        <v>0</v>
      </c>
      <c r="H711" s="60">
        <v>0</v>
      </c>
    </row>
    <row r="712" spans="1:8" ht="16" x14ac:dyDescent="0.2">
      <c r="A712" s="46">
        <v>500998</v>
      </c>
      <c r="B712" s="47" t="s">
        <v>1444</v>
      </c>
      <c r="C712" s="47" t="s">
        <v>1445</v>
      </c>
      <c r="D712" s="45">
        <v>0</v>
      </c>
      <c r="E712" s="45">
        <v>0</v>
      </c>
      <c r="F712" s="45">
        <v>0</v>
      </c>
      <c r="G712" s="45">
        <v>0</v>
      </c>
      <c r="H712" s="60">
        <v>0</v>
      </c>
    </row>
    <row r="713" spans="1:8" ht="16" x14ac:dyDescent="0.2">
      <c r="A713" s="46">
        <v>501001</v>
      </c>
      <c r="B713" s="47" t="s">
        <v>1446</v>
      </c>
      <c r="C713" s="47" t="s">
        <v>1447</v>
      </c>
      <c r="D713" s="45">
        <v>0</v>
      </c>
      <c r="E713" s="45">
        <v>0</v>
      </c>
      <c r="F713" s="45">
        <v>0</v>
      </c>
      <c r="G713" s="45">
        <v>0</v>
      </c>
      <c r="H713" s="60">
        <v>0</v>
      </c>
    </row>
    <row r="714" spans="1:8" ht="16" x14ac:dyDescent="0.2">
      <c r="A714" s="46">
        <v>501006</v>
      </c>
      <c r="B714" s="47" t="s">
        <v>1448</v>
      </c>
      <c r="C714" s="47" t="s">
        <v>1449</v>
      </c>
      <c r="D714" s="45">
        <v>0</v>
      </c>
      <c r="E714" s="45">
        <v>0</v>
      </c>
      <c r="F714" s="45">
        <v>0</v>
      </c>
      <c r="G714" s="45">
        <v>0</v>
      </c>
      <c r="H714" s="60">
        <v>0</v>
      </c>
    </row>
    <row r="715" spans="1:8" ht="16" x14ac:dyDescent="0.2">
      <c r="A715" s="46">
        <v>500761</v>
      </c>
      <c r="B715" s="47" t="s">
        <v>1450</v>
      </c>
      <c r="C715" s="47" t="s">
        <v>1451</v>
      </c>
      <c r="D715" s="45">
        <v>0</v>
      </c>
      <c r="E715" s="45">
        <v>0</v>
      </c>
      <c r="F715" s="45">
        <v>0</v>
      </c>
      <c r="G715" s="45">
        <v>0</v>
      </c>
      <c r="H715" s="60">
        <v>0</v>
      </c>
    </row>
    <row r="716" spans="1:8" ht="32" x14ac:dyDescent="0.2">
      <c r="A716" s="46">
        <v>500768</v>
      </c>
      <c r="B716" s="47" t="s">
        <v>1452</v>
      </c>
      <c r="C716" s="47" t="s">
        <v>1453</v>
      </c>
      <c r="D716" s="45">
        <v>0</v>
      </c>
      <c r="E716" s="45">
        <v>0</v>
      </c>
      <c r="F716" s="45">
        <v>0</v>
      </c>
      <c r="G716" s="45">
        <v>0</v>
      </c>
      <c r="H716" s="60">
        <v>0</v>
      </c>
    </row>
    <row r="717" spans="1:8" ht="16" x14ac:dyDescent="0.2">
      <c r="A717" s="46">
        <v>500763</v>
      </c>
      <c r="B717" s="47" t="s">
        <v>1454</v>
      </c>
      <c r="C717" s="47" t="s">
        <v>1455</v>
      </c>
      <c r="D717" s="45">
        <v>0</v>
      </c>
      <c r="E717" s="45">
        <v>0</v>
      </c>
      <c r="F717" s="45">
        <v>0</v>
      </c>
      <c r="G717" s="45">
        <v>0</v>
      </c>
      <c r="H717" s="60">
        <v>0</v>
      </c>
    </row>
    <row r="718" spans="1:8" ht="16" x14ac:dyDescent="0.2">
      <c r="A718" s="46">
        <v>500766</v>
      </c>
      <c r="B718" s="47" t="s">
        <v>1456</v>
      </c>
      <c r="C718" s="47" t="s">
        <v>1457</v>
      </c>
      <c r="D718" s="45">
        <v>0</v>
      </c>
      <c r="E718" s="45">
        <v>0</v>
      </c>
      <c r="F718" s="45">
        <v>0</v>
      </c>
      <c r="G718" s="45">
        <v>0</v>
      </c>
      <c r="H718" s="60">
        <v>0</v>
      </c>
    </row>
    <row r="719" spans="1:8" ht="16" x14ac:dyDescent="0.2">
      <c r="A719" s="46">
        <v>500769</v>
      </c>
      <c r="B719" s="47" t="s">
        <v>1458</v>
      </c>
      <c r="C719" s="47" t="s">
        <v>1459</v>
      </c>
      <c r="D719" s="45">
        <v>0</v>
      </c>
      <c r="E719" s="45">
        <v>0</v>
      </c>
      <c r="F719" s="45">
        <v>0</v>
      </c>
      <c r="G719" s="45">
        <v>0</v>
      </c>
      <c r="H719" s="60">
        <v>0</v>
      </c>
    </row>
    <row r="720" spans="1:8" ht="16" x14ac:dyDescent="0.2">
      <c r="A720" s="46">
        <v>500991</v>
      </c>
      <c r="B720" s="47" t="s">
        <v>1460</v>
      </c>
      <c r="C720" s="47" t="s">
        <v>1461</v>
      </c>
      <c r="D720" s="45">
        <v>0</v>
      </c>
      <c r="E720" s="45">
        <v>0</v>
      </c>
      <c r="F720" s="45">
        <v>0</v>
      </c>
      <c r="G720" s="45">
        <v>0</v>
      </c>
      <c r="H720" s="60">
        <v>0</v>
      </c>
    </row>
    <row r="721" spans="1:8" ht="16" x14ac:dyDescent="0.2">
      <c r="A721" s="46">
        <v>500992</v>
      </c>
      <c r="B721" s="47" t="s">
        <v>1462</v>
      </c>
      <c r="C721" s="47" t="s">
        <v>1463</v>
      </c>
      <c r="D721" s="45">
        <v>0</v>
      </c>
      <c r="E721" s="45">
        <v>0</v>
      </c>
      <c r="F721" s="45">
        <v>0</v>
      </c>
      <c r="G721" s="45">
        <v>0</v>
      </c>
      <c r="H721" s="60">
        <v>0</v>
      </c>
    </row>
    <row r="722" spans="1:8" ht="16" x14ac:dyDescent="0.2">
      <c r="A722" s="46">
        <v>500981</v>
      </c>
      <c r="B722" s="47" t="s">
        <v>1464</v>
      </c>
      <c r="C722" s="47" t="s">
        <v>1465</v>
      </c>
      <c r="D722" s="45">
        <v>0</v>
      </c>
      <c r="E722" s="45">
        <v>0</v>
      </c>
      <c r="F722" s="45">
        <v>0</v>
      </c>
      <c r="G722" s="45">
        <v>0</v>
      </c>
      <c r="H722" s="60">
        <v>0</v>
      </c>
    </row>
    <row r="723" spans="1:8" ht="16" x14ac:dyDescent="0.2">
      <c r="A723" s="46">
        <v>500770</v>
      </c>
      <c r="B723" s="47" t="s">
        <v>1466</v>
      </c>
      <c r="C723" s="47" t="s">
        <v>1467</v>
      </c>
      <c r="D723" s="45">
        <v>0</v>
      </c>
      <c r="E723" s="45">
        <v>0</v>
      </c>
      <c r="F723" s="45">
        <v>0</v>
      </c>
      <c r="G723" s="45">
        <v>0</v>
      </c>
      <c r="H723" s="60">
        <v>0</v>
      </c>
    </row>
    <row r="724" spans="1:8" ht="16" x14ac:dyDescent="0.2">
      <c r="A724" s="46">
        <v>500772</v>
      </c>
      <c r="B724" s="47" t="s">
        <v>1468</v>
      </c>
      <c r="C724" s="47" t="s">
        <v>1469</v>
      </c>
      <c r="D724" s="45">
        <v>0</v>
      </c>
      <c r="E724" s="45">
        <v>0</v>
      </c>
      <c r="F724" s="45">
        <v>0</v>
      </c>
      <c r="G724" s="45">
        <v>0</v>
      </c>
      <c r="H724" s="60">
        <v>0</v>
      </c>
    </row>
    <row r="725" spans="1:8" ht="16" x14ac:dyDescent="0.2">
      <c r="A725" s="46">
        <v>500139</v>
      </c>
      <c r="B725" s="47" t="s">
        <v>1470</v>
      </c>
      <c r="C725" s="47" t="s">
        <v>1471</v>
      </c>
      <c r="D725" s="45">
        <v>0.24367</v>
      </c>
      <c r="E725" s="45">
        <v>0.24367</v>
      </c>
      <c r="F725" s="45">
        <v>0</v>
      </c>
      <c r="G725" s="45">
        <v>0</v>
      </c>
      <c r="H725" s="60">
        <v>0</v>
      </c>
    </row>
    <row r="726" spans="1:8" ht="16" x14ac:dyDescent="0.2">
      <c r="A726" s="46">
        <v>501028</v>
      </c>
      <c r="B726" s="47" t="s">
        <v>1472</v>
      </c>
      <c r="C726" s="47" t="s">
        <v>1473</v>
      </c>
      <c r="D726" s="45">
        <v>0</v>
      </c>
      <c r="E726" s="45">
        <v>0</v>
      </c>
      <c r="F726" s="45">
        <v>0</v>
      </c>
      <c r="G726" s="45">
        <v>0</v>
      </c>
      <c r="H726" s="60">
        <v>0</v>
      </c>
    </row>
    <row r="727" spans="1:8" ht="16" x14ac:dyDescent="0.2">
      <c r="A727" s="46">
        <v>501013</v>
      </c>
      <c r="B727" s="47" t="s">
        <v>1474</v>
      </c>
      <c r="C727" s="47" t="s">
        <v>1475</v>
      </c>
      <c r="D727" s="45">
        <v>0</v>
      </c>
      <c r="E727" s="45">
        <v>0</v>
      </c>
      <c r="F727" s="45">
        <v>0</v>
      </c>
      <c r="G727" s="45">
        <v>0</v>
      </c>
      <c r="H727" s="60">
        <v>0</v>
      </c>
    </row>
    <row r="728" spans="1:8" ht="16" x14ac:dyDescent="0.2">
      <c r="A728" s="46">
        <v>500767</v>
      </c>
      <c r="B728" s="47" t="s">
        <v>1476</v>
      </c>
      <c r="C728" s="47" t="s">
        <v>1477</v>
      </c>
      <c r="D728" s="45">
        <v>0</v>
      </c>
      <c r="E728" s="45">
        <v>0</v>
      </c>
      <c r="F728" s="45">
        <v>0</v>
      </c>
      <c r="G728" s="45">
        <v>0</v>
      </c>
      <c r="H728" s="60">
        <v>0</v>
      </c>
    </row>
    <row r="729" spans="1:8" ht="16" x14ac:dyDescent="0.2">
      <c r="A729" s="46">
        <v>500771</v>
      </c>
      <c r="B729" s="47" t="s">
        <v>1478</v>
      </c>
      <c r="C729" s="47" t="s">
        <v>1479</v>
      </c>
      <c r="D729" s="45">
        <v>0</v>
      </c>
      <c r="E729" s="45">
        <v>0</v>
      </c>
      <c r="F729" s="45">
        <v>0</v>
      </c>
      <c r="G729" s="45">
        <v>0</v>
      </c>
      <c r="H729" s="60">
        <v>0</v>
      </c>
    </row>
    <row r="730" spans="1:8" ht="16" x14ac:dyDescent="0.2">
      <c r="A730" s="46">
        <v>501024</v>
      </c>
      <c r="B730" s="47" t="s">
        <v>1480</v>
      </c>
      <c r="C730" s="47" t="s">
        <v>1481</v>
      </c>
      <c r="D730" s="45">
        <v>0</v>
      </c>
      <c r="E730" s="45">
        <v>0</v>
      </c>
      <c r="F730" s="45">
        <v>0</v>
      </c>
      <c r="G730" s="45">
        <v>0</v>
      </c>
      <c r="H730" s="60">
        <v>0</v>
      </c>
    </row>
    <row r="731" spans="1:8" ht="16" x14ac:dyDescent="0.2">
      <c r="A731" s="46">
        <v>501026</v>
      </c>
      <c r="B731" s="47" t="s">
        <v>1482</v>
      </c>
      <c r="C731" s="47" t="s">
        <v>1483</v>
      </c>
      <c r="D731" s="45">
        <v>0</v>
      </c>
      <c r="E731" s="45">
        <v>0</v>
      </c>
      <c r="F731" s="45">
        <v>0</v>
      </c>
      <c r="G731" s="45">
        <v>0</v>
      </c>
      <c r="H731" s="60">
        <v>0</v>
      </c>
    </row>
    <row r="732" spans="1:8" ht="16" x14ac:dyDescent="0.2">
      <c r="A732" s="46">
        <v>501022</v>
      </c>
      <c r="B732" s="47" t="s">
        <v>1484</v>
      </c>
      <c r="C732" s="47" t="s">
        <v>1485</v>
      </c>
      <c r="D732" s="45">
        <v>0</v>
      </c>
      <c r="E732" s="45">
        <v>0</v>
      </c>
      <c r="F732" s="45">
        <v>0</v>
      </c>
      <c r="G732" s="45">
        <v>0</v>
      </c>
      <c r="H732" s="60">
        <v>0</v>
      </c>
    </row>
    <row r="733" spans="1:8" ht="16" x14ac:dyDescent="0.2">
      <c r="A733" s="46">
        <v>501023</v>
      </c>
      <c r="B733" s="47" t="s">
        <v>1486</v>
      </c>
      <c r="C733" s="47" t="s">
        <v>1487</v>
      </c>
      <c r="D733" s="45">
        <v>0</v>
      </c>
      <c r="E733" s="45">
        <v>0</v>
      </c>
      <c r="F733" s="45">
        <v>0</v>
      </c>
      <c r="G733" s="45">
        <v>0</v>
      </c>
      <c r="H733" s="60">
        <v>0</v>
      </c>
    </row>
    <row r="734" spans="1:8" ht="16" x14ac:dyDescent="0.2">
      <c r="A734" s="46">
        <v>501025</v>
      </c>
      <c r="B734" s="47" t="s">
        <v>1488</v>
      </c>
      <c r="C734" s="47" t="s">
        <v>1489</v>
      </c>
      <c r="D734" s="45">
        <v>0</v>
      </c>
      <c r="E734" s="45">
        <v>0</v>
      </c>
      <c r="F734" s="45">
        <v>0</v>
      </c>
      <c r="G734" s="45">
        <v>0</v>
      </c>
      <c r="H734" s="60">
        <v>0</v>
      </c>
    </row>
    <row r="735" spans="1:8" ht="16" x14ac:dyDescent="0.2">
      <c r="A735" s="46">
        <v>501027</v>
      </c>
      <c r="B735" s="47" t="s">
        <v>1490</v>
      </c>
      <c r="C735" s="47" t="s">
        <v>1491</v>
      </c>
      <c r="D735" s="45">
        <v>0</v>
      </c>
      <c r="E735" s="45">
        <v>0</v>
      </c>
      <c r="F735" s="45">
        <v>0</v>
      </c>
      <c r="G735" s="45">
        <v>0</v>
      </c>
      <c r="H735" s="60">
        <v>0</v>
      </c>
    </row>
    <row r="736" spans="1:8" ht="16" x14ac:dyDescent="0.2">
      <c r="A736" s="46">
        <v>501014</v>
      </c>
      <c r="B736" s="47" t="s">
        <v>1492</v>
      </c>
      <c r="C736" s="47" t="s">
        <v>1493</v>
      </c>
      <c r="D736" s="45">
        <v>0</v>
      </c>
      <c r="E736" s="45">
        <v>0</v>
      </c>
      <c r="F736" s="45">
        <v>0</v>
      </c>
      <c r="G736" s="45">
        <v>0</v>
      </c>
      <c r="H736" s="60">
        <v>0</v>
      </c>
    </row>
    <row r="737" spans="1:8" ht="16" x14ac:dyDescent="0.2">
      <c r="A737" s="46">
        <v>501011</v>
      </c>
      <c r="B737" s="47" t="s">
        <v>1494</v>
      </c>
      <c r="C737" s="47" t="s">
        <v>1495</v>
      </c>
      <c r="D737" s="45">
        <v>0</v>
      </c>
      <c r="E737" s="45">
        <v>0</v>
      </c>
      <c r="F737" s="45">
        <v>0</v>
      </c>
      <c r="G737" s="45">
        <v>0</v>
      </c>
      <c r="H737" s="60">
        <v>0</v>
      </c>
    </row>
    <row r="738" spans="1:8" ht="16" x14ac:dyDescent="0.2">
      <c r="A738" s="46">
        <v>501012</v>
      </c>
      <c r="B738" s="47" t="s">
        <v>1496</v>
      </c>
      <c r="C738" s="47" t="s">
        <v>1497</v>
      </c>
      <c r="D738" s="45">
        <v>0</v>
      </c>
      <c r="E738" s="45">
        <v>0</v>
      </c>
      <c r="F738" s="45">
        <v>0</v>
      </c>
      <c r="G738" s="45">
        <v>0</v>
      </c>
      <c r="H738" s="60">
        <v>0</v>
      </c>
    </row>
    <row r="739" spans="1:8" ht="16" x14ac:dyDescent="0.2">
      <c r="A739" s="46">
        <v>500986</v>
      </c>
      <c r="B739" s="47" t="s">
        <v>1498</v>
      </c>
      <c r="C739" s="47" t="s">
        <v>1499</v>
      </c>
      <c r="D739" s="45">
        <v>0</v>
      </c>
      <c r="E739" s="45">
        <v>0</v>
      </c>
      <c r="F739" s="45">
        <v>0</v>
      </c>
      <c r="G739" s="45">
        <v>0</v>
      </c>
      <c r="H739" s="60">
        <v>0</v>
      </c>
    </row>
    <row r="740" spans="1:8" ht="16" x14ac:dyDescent="0.2">
      <c r="A740" s="46">
        <v>501030</v>
      </c>
      <c r="B740" s="47" t="s">
        <v>1500</v>
      </c>
      <c r="C740" s="47" t="s">
        <v>1501</v>
      </c>
      <c r="D740" s="45">
        <v>0</v>
      </c>
      <c r="E740" s="45">
        <v>0</v>
      </c>
      <c r="F740" s="45">
        <v>0</v>
      </c>
      <c r="G740" s="45">
        <v>0</v>
      </c>
      <c r="H740" s="60">
        <v>0</v>
      </c>
    </row>
    <row r="741" spans="1:8" ht="16" x14ac:dyDescent="0.2">
      <c r="A741" s="46">
        <v>501029</v>
      </c>
      <c r="B741" s="47" t="s">
        <v>1502</v>
      </c>
      <c r="C741" s="47" t="s">
        <v>1503</v>
      </c>
      <c r="D741" s="45">
        <v>0</v>
      </c>
      <c r="E741" s="45">
        <v>0</v>
      </c>
      <c r="F741" s="45">
        <v>0</v>
      </c>
      <c r="G741" s="45">
        <v>0</v>
      </c>
      <c r="H741" s="60">
        <v>0</v>
      </c>
    </row>
    <row r="742" spans="1:8" ht="16" x14ac:dyDescent="0.2">
      <c r="A742" s="46">
        <v>500774</v>
      </c>
      <c r="B742" s="47" t="s">
        <v>1504</v>
      </c>
      <c r="C742" s="47" t="s">
        <v>1505</v>
      </c>
      <c r="D742" s="45">
        <v>0</v>
      </c>
      <c r="E742" s="45">
        <v>0</v>
      </c>
      <c r="F742" s="45">
        <v>0</v>
      </c>
      <c r="G742" s="45">
        <v>0</v>
      </c>
      <c r="H742" s="60">
        <v>0</v>
      </c>
    </row>
    <row r="743" spans="1:8" ht="16" x14ac:dyDescent="0.2">
      <c r="A743" s="46">
        <v>500777</v>
      </c>
      <c r="B743" s="47" t="s">
        <v>1506</v>
      </c>
      <c r="C743" s="47" t="s">
        <v>1507</v>
      </c>
      <c r="D743" s="45">
        <v>0</v>
      </c>
      <c r="E743" s="45">
        <v>0</v>
      </c>
      <c r="F743" s="45">
        <v>0</v>
      </c>
      <c r="G743" s="45">
        <v>0</v>
      </c>
      <c r="H743" s="60">
        <v>0</v>
      </c>
    </row>
    <row r="744" spans="1:8" ht="16" x14ac:dyDescent="0.2">
      <c r="A744" s="46">
        <v>500775</v>
      </c>
      <c r="B744" s="47" t="s">
        <v>1508</v>
      </c>
      <c r="C744" s="47" t="s">
        <v>1509</v>
      </c>
      <c r="D744" s="45">
        <v>0</v>
      </c>
      <c r="E744" s="45">
        <v>0</v>
      </c>
      <c r="F744" s="45">
        <v>0</v>
      </c>
      <c r="G744" s="45">
        <v>0</v>
      </c>
      <c r="H744" s="60">
        <v>0</v>
      </c>
    </row>
    <row r="745" spans="1:8" ht="16" x14ac:dyDescent="0.2">
      <c r="A745" s="46">
        <v>501070</v>
      </c>
      <c r="B745" s="47" t="s">
        <v>1510</v>
      </c>
      <c r="C745" s="47" t="s">
        <v>1511</v>
      </c>
      <c r="D745" s="45">
        <v>6.8216700000000001</v>
      </c>
      <c r="E745" s="45">
        <v>7.1093500000000001</v>
      </c>
      <c r="F745" s="45">
        <v>0.11020000000000001</v>
      </c>
      <c r="G745" s="45">
        <v>0</v>
      </c>
      <c r="H745" s="60">
        <v>0</v>
      </c>
    </row>
    <row r="746" spans="1:8" ht="16" x14ac:dyDescent="0.2">
      <c r="A746" s="46">
        <v>501074</v>
      </c>
      <c r="B746" s="47" t="s">
        <v>1512</v>
      </c>
      <c r="C746" s="47" t="s">
        <v>1513</v>
      </c>
      <c r="D746" s="45">
        <v>1.254</v>
      </c>
      <c r="E746" s="45">
        <v>1.843</v>
      </c>
      <c r="F746" s="45">
        <v>0</v>
      </c>
      <c r="G746" s="45">
        <v>0</v>
      </c>
      <c r="H746" s="60">
        <v>0</v>
      </c>
    </row>
    <row r="747" spans="1:8" ht="16" x14ac:dyDescent="0.2">
      <c r="A747" s="46">
        <v>501043</v>
      </c>
      <c r="B747" s="47" t="s">
        <v>1514</v>
      </c>
      <c r="C747" s="47" t="s">
        <v>1515</v>
      </c>
      <c r="D747" s="45">
        <v>0</v>
      </c>
      <c r="E747" s="45">
        <v>0</v>
      </c>
      <c r="F747" s="45">
        <v>0</v>
      </c>
      <c r="G747" s="45">
        <v>0</v>
      </c>
      <c r="H747" s="60">
        <v>0</v>
      </c>
    </row>
    <row r="748" spans="1:8" ht="16" x14ac:dyDescent="0.2">
      <c r="A748" s="46">
        <v>501042</v>
      </c>
      <c r="B748" s="47" t="s">
        <v>1516</v>
      </c>
      <c r="C748" s="47" t="s">
        <v>1517</v>
      </c>
      <c r="D748" s="45">
        <v>0</v>
      </c>
      <c r="E748" s="45">
        <v>0</v>
      </c>
      <c r="F748" s="45">
        <v>0</v>
      </c>
      <c r="G748" s="45">
        <v>0</v>
      </c>
      <c r="H748" s="60">
        <v>0</v>
      </c>
    </row>
    <row r="749" spans="1:8" ht="16" x14ac:dyDescent="0.2">
      <c r="A749" s="46">
        <v>501046</v>
      </c>
      <c r="B749" s="47" t="s">
        <v>1518</v>
      </c>
      <c r="C749" s="47" t="s">
        <v>1519</v>
      </c>
      <c r="D749" s="45">
        <v>0</v>
      </c>
      <c r="E749" s="45">
        <v>0</v>
      </c>
      <c r="F749" s="45">
        <v>0</v>
      </c>
      <c r="G749" s="45">
        <v>0</v>
      </c>
      <c r="H749" s="60">
        <v>0</v>
      </c>
    </row>
    <row r="750" spans="1:8" ht="16" x14ac:dyDescent="0.2">
      <c r="A750" s="46">
        <v>501072</v>
      </c>
      <c r="B750" s="47" t="s">
        <v>1520</v>
      </c>
      <c r="C750" s="47" t="s">
        <v>1521</v>
      </c>
      <c r="D750" s="45">
        <v>0</v>
      </c>
      <c r="E750" s="45">
        <v>0</v>
      </c>
      <c r="F750" s="45">
        <v>0</v>
      </c>
      <c r="G750" s="45">
        <v>0</v>
      </c>
      <c r="H750" s="60">
        <v>0</v>
      </c>
    </row>
    <row r="751" spans="1:8" ht="16" x14ac:dyDescent="0.2">
      <c r="A751" s="46">
        <v>501049</v>
      </c>
      <c r="B751" s="47" t="s">
        <v>1522</v>
      </c>
      <c r="C751" s="47" t="s">
        <v>1523</v>
      </c>
      <c r="D751" s="45">
        <v>0</v>
      </c>
      <c r="E751" s="45">
        <v>0</v>
      </c>
      <c r="F751" s="45">
        <v>0</v>
      </c>
      <c r="G751" s="45">
        <v>0</v>
      </c>
      <c r="H751" s="60">
        <v>0</v>
      </c>
    </row>
    <row r="752" spans="1:8" ht="16" x14ac:dyDescent="0.2">
      <c r="A752" s="46">
        <v>501057</v>
      </c>
      <c r="B752" s="47" t="s">
        <v>1524</v>
      </c>
      <c r="C752" s="47" t="s">
        <v>1525</v>
      </c>
      <c r="D752" s="45">
        <v>0</v>
      </c>
      <c r="E752" s="45">
        <v>0</v>
      </c>
      <c r="F752" s="45">
        <v>0</v>
      </c>
      <c r="G752" s="45">
        <v>0</v>
      </c>
      <c r="H752" s="60">
        <v>0</v>
      </c>
    </row>
    <row r="753" spans="1:8" ht="16" x14ac:dyDescent="0.2">
      <c r="A753" s="46">
        <v>500776</v>
      </c>
      <c r="B753" s="47" t="s">
        <v>1526</v>
      </c>
      <c r="C753" s="47" t="s">
        <v>1527</v>
      </c>
      <c r="D753" s="45">
        <v>0</v>
      </c>
      <c r="E753" s="45">
        <v>0</v>
      </c>
      <c r="F753" s="45">
        <v>0</v>
      </c>
      <c r="G753" s="45">
        <v>0</v>
      </c>
      <c r="H753" s="60">
        <v>0</v>
      </c>
    </row>
    <row r="754" spans="1:8" ht="16" x14ac:dyDescent="0.2">
      <c r="A754" s="46">
        <v>501039</v>
      </c>
      <c r="B754" s="47" t="s">
        <v>1528</v>
      </c>
      <c r="C754" s="47" t="s">
        <v>1529</v>
      </c>
      <c r="D754" s="45">
        <v>0</v>
      </c>
      <c r="E754" s="45">
        <v>0</v>
      </c>
      <c r="F754" s="45">
        <v>0</v>
      </c>
      <c r="G754" s="45">
        <v>0</v>
      </c>
      <c r="H754" s="60">
        <v>0</v>
      </c>
    </row>
    <row r="755" spans="1:8" ht="16" x14ac:dyDescent="0.2">
      <c r="A755" s="46">
        <v>501055</v>
      </c>
      <c r="B755" s="47" t="s">
        <v>1530</v>
      </c>
      <c r="C755" s="47" t="s">
        <v>1531</v>
      </c>
      <c r="D755" s="45">
        <v>0</v>
      </c>
      <c r="E755" s="45">
        <v>0</v>
      </c>
      <c r="F755" s="45">
        <v>0</v>
      </c>
      <c r="G755" s="45">
        <v>0</v>
      </c>
      <c r="H755" s="60">
        <v>0</v>
      </c>
    </row>
    <row r="756" spans="1:8" ht="16" x14ac:dyDescent="0.2">
      <c r="A756" s="46">
        <v>501052</v>
      </c>
      <c r="B756" s="47" t="s">
        <v>1532</v>
      </c>
      <c r="C756" s="47" t="s">
        <v>1533</v>
      </c>
      <c r="D756" s="45">
        <v>0</v>
      </c>
      <c r="E756" s="45">
        <v>0</v>
      </c>
      <c r="F756" s="45">
        <v>0</v>
      </c>
      <c r="G756" s="45">
        <v>0</v>
      </c>
      <c r="H756" s="60">
        <v>0</v>
      </c>
    </row>
    <row r="757" spans="1:8" ht="16" x14ac:dyDescent="0.2">
      <c r="A757" s="46">
        <v>501045</v>
      </c>
      <c r="B757" s="47" t="s">
        <v>1534</v>
      </c>
      <c r="C757" s="47" t="s">
        <v>1535</v>
      </c>
      <c r="D757" s="45">
        <v>0</v>
      </c>
      <c r="E757" s="45">
        <v>0</v>
      </c>
      <c r="F757" s="45">
        <v>0</v>
      </c>
      <c r="G757" s="45">
        <v>0</v>
      </c>
      <c r="H757" s="60">
        <v>0</v>
      </c>
    </row>
    <row r="758" spans="1:8" ht="16" x14ac:dyDescent="0.2">
      <c r="A758" s="46">
        <v>501048</v>
      </c>
      <c r="B758" s="47" t="s">
        <v>1536</v>
      </c>
      <c r="C758" s="47" t="s">
        <v>1537</v>
      </c>
      <c r="D758" s="45">
        <v>0</v>
      </c>
      <c r="E758" s="45">
        <v>0</v>
      </c>
      <c r="F758" s="45">
        <v>0</v>
      </c>
      <c r="G758" s="45">
        <v>0</v>
      </c>
      <c r="H758" s="60">
        <v>0</v>
      </c>
    </row>
    <row r="759" spans="1:8" ht="16" x14ac:dyDescent="0.2">
      <c r="A759" s="46">
        <v>501053</v>
      </c>
      <c r="B759" s="47" t="s">
        <v>1538</v>
      </c>
      <c r="C759" s="47" t="s">
        <v>1539</v>
      </c>
      <c r="D759" s="45">
        <v>0</v>
      </c>
      <c r="E759" s="45">
        <v>0</v>
      </c>
      <c r="F759" s="45">
        <v>0</v>
      </c>
      <c r="G759" s="45">
        <v>0</v>
      </c>
      <c r="H759" s="60">
        <v>0</v>
      </c>
    </row>
    <row r="760" spans="1:8" ht="16" x14ac:dyDescent="0.2">
      <c r="A760" s="46">
        <v>501051</v>
      </c>
      <c r="B760" s="47" t="s">
        <v>1540</v>
      </c>
      <c r="C760" s="47" t="s">
        <v>1541</v>
      </c>
      <c r="D760" s="45">
        <v>0</v>
      </c>
      <c r="E760" s="45">
        <v>0</v>
      </c>
      <c r="F760" s="45">
        <v>0</v>
      </c>
      <c r="G760" s="45">
        <v>0</v>
      </c>
      <c r="H760" s="60">
        <v>0</v>
      </c>
    </row>
    <row r="761" spans="1:8" ht="16" x14ac:dyDescent="0.2">
      <c r="A761" s="46">
        <v>501054</v>
      </c>
      <c r="B761" s="47" t="s">
        <v>1542</v>
      </c>
      <c r="C761" s="47" t="s">
        <v>1543</v>
      </c>
      <c r="D761" s="45">
        <v>0</v>
      </c>
      <c r="E761" s="45">
        <v>0</v>
      </c>
      <c r="F761" s="45">
        <v>0</v>
      </c>
      <c r="G761" s="45">
        <v>0</v>
      </c>
      <c r="H761" s="60">
        <v>0</v>
      </c>
    </row>
    <row r="762" spans="1:8" ht="16" x14ac:dyDescent="0.2">
      <c r="A762" s="46">
        <v>501060</v>
      </c>
      <c r="B762" s="47" t="s">
        <v>1544</v>
      </c>
      <c r="C762" s="47" t="s">
        <v>1545</v>
      </c>
      <c r="D762" s="45">
        <v>0</v>
      </c>
      <c r="E762" s="45">
        <v>0</v>
      </c>
      <c r="F762" s="45">
        <v>0</v>
      </c>
      <c r="G762" s="45">
        <v>0</v>
      </c>
      <c r="H762" s="60">
        <v>0</v>
      </c>
    </row>
    <row r="763" spans="1:8" ht="16" x14ac:dyDescent="0.2">
      <c r="A763" s="46">
        <v>501059</v>
      </c>
      <c r="B763" s="47" t="s">
        <v>1546</v>
      </c>
      <c r="C763" s="47" t="s">
        <v>1547</v>
      </c>
      <c r="D763" s="45">
        <v>0</v>
      </c>
      <c r="E763" s="45">
        <v>0</v>
      </c>
      <c r="F763" s="45">
        <v>0</v>
      </c>
      <c r="G763" s="45">
        <v>0</v>
      </c>
      <c r="H763" s="60">
        <v>0</v>
      </c>
    </row>
    <row r="764" spans="1:8" ht="16" x14ac:dyDescent="0.2">
      <c r="A764" s="46">
        <v>501071</v>
      </c>
      <c r="B764" s="47" t="s">
        <v>1548</v>
      </c>
      <c r="C764" s="47" t="s">
        <v>1549</v>
      </c>
      <c r="D764" s="45">
        <v>0</v>
      </c>
      <c r="E764" s="45">
        <v>0</v>
      </c>
      <c r="F764" s="45">
        <v>0</v>
      </c>
      <c r="G764" s="45">
        <v>0</v>
      </c>
      <c r="H764" s="60">
        <v>0</v>
      </c>
    </row>
    <row r="765" spans="1:8" ht="16" x14ac:dyDescent="0.2">
      <c r="A765" s="46">
        <v>500225</v>
      </c>
      <c r="B765" s="47" t="s">
        <v>1550</v>
      </c>
      <c r="C765" s="47" t="s">
        <v>1551</v>
      </c>
      <c r="D765" s="45">
        <v>0</v>
      </c>
      <c r="E765" s="45">
        <v>0</v>
      </c>
      <c r="F765" s="45">
        <v>0</v>
      </c>
      <c r="G765" s="45">
        <v>0</v>
      </c>
      <c r="H765" s="60">
        <v>0</v>
      </c>
    </row>
    <row r="766" spans="1:8" ht="16" x14ac:dyDescent="0.2">
      <c r="A766" s="46">
        <v>501081</v>
      </c>
      <c r="B766" s="47" t="s">
        <v>1552</v>
      </c>
      <c r="C766" s="47" t="s">
        <v>1553</v>
      </c>
      <c r="D766" s="45">
        <v>0</v>
      </c>
      <c r="E766" s="45">
        <v>0</v>
      </c>
      <c r="F766" s="45">
        <v>0</v>
      </c>
      <c r="G766" s="45">
        <v>0</v>
      </c>
      <c r="H766" s="60">
        <v>0</v>
      </c>
    </row>
    <row r="767" spans="1:8" ht="16" x14ac:dyDescent="0.2">
      <c r="A767" s="46">
        <v>500223</v>
      </c>
      <c r="B767" s="47" t="s">
        <v>1554</v>
      </c>
      <c r="C767" s="47" t="s">
        <v>1555</v>
      </c>
      <c r="D767" s="45">
        <v>0</v>
      </c>
      <c r="E767" s="45">
        <v>0</v>
      </c>
      <c r="F767" s="45">
        <v>0</v>
      </c>
      <c r="G767" s="45">
        <v>0</v>
      </c>
      <c r="H767" s="60">
        <v>0</v>
      </c>
    </row>
    <row r="768" spans="1:8" ht="16" x14ac:dyDescent="0.2">
      <c r="A768" s="46">
        <v>501050</v>
      </c>
      <c r="B768" s="47" t="s">
        <v>1556</v>
      </c>
      <c r="C768" s="47" t="s">
        <v>1557</v>
      </c>
      <c r="D768" s="45">
        <v>0</v>
      </c>
      <c r="E768" s="45">
        <v>0</v>
      </c>
      <c r="F768" s="45">
        <v>0</v>
      </c>
      <c r="G768" s="45">
        <v>0</v>
      </c>
      <c r="H768" s="60">
        <v>0</v>
      </c>
    </row>
    <row r="769" spans="1:8" ht="16" x14ac:dyDescent="0.2">
      <c r="A769" s="46">
        <v>500780</v>
      </c>
      <c r="B769" s="47" t="s">
        <v>1558</v>
      </c>
      <c r="C769" s="47" t="s">
        <v>1559</v>
      </c>
      <c r="D769" s="45">
        <v>0</v>
      </c>
      <c r="E769" s="45">
        <v>0</v>
      </c>
      <c r="F769" s="45">
        <v>0</v>
      </c>
      <c r="G769" s="45">
        <v>0</v>
      </c>
      <c r="H769" s="60">
        <v>0</v>
      </c>
    </row>
    <row r="770" spans="1:8" ht="16" x14ac:dyDescent="0.2">
      <c r="A770" s="46">
        <v>500778</v>
      </c>
      <c r="B770" s="47" t="s">
        <v>1560</v>
      </c>
      <c r="C770" s="47" t="s">
        <v>1561</v>
      </c>
      <c r="D770" s="45">
        <v>0</v>
      </c>
      <c r="E770" s="45">
        <v>0</v>
      </c>
      <c r="F770" s="45">
        <v>0</v>
      </c>
      <c r="G770" s="45">
        <v>0</v>
      </c>
      <c r="H770" s="60">
        <v>0</v>
      </c>
    </row>
    <row r="771" spans="1:8" ht="16" x14ac:dyDescent="0.2">
      <c r="A771" s="46">
        <v>500773</v>
      </c>
      <c r="B771" s="47" t="s">
        <v>1562</v>
      </c>
      <c r="C771" s="47" t="s">
        <v>1563</v>
      </c>
      <c r="D771" s="45">
        <v>0</v>
      </c>
      <c r="E771" s="45">
        <v>0</v>
      </c>
      <c r="F771" s="45">
        <v>0</v>
      </c>
      <c r="G771" s="45">
        <v>0</v>
      </c>
      <c r="H771" s="60">
        <v>0</v>
      </c>
    </row>
    <row r="772" spans="1:8" ht="16" x14ac:dyDescent="0.2">
      <c r="A772" s="46">
        <v>501098</v>
      </c>
      <c r="B772" s="47" t="s">
        <v>1564</v>
      </c>
      <c r="C772" s="47" t="e">
        <f>_xlfn.XLOOKUP(B772,'[1]MDB-Auszug 09.01.2026'!D:D,'[1]MDB-Auszug 09.01.2026'!A:A)</f>
        <v>#N/A</v>
      </c>
      <c r="D772" s="45">
        <v>0</v>
      </c>
      <c r="E772" s="45">
        <v>0</v>
      </c>
      <c r="F772" s="45">
        <v>0</v>
      </c>
      <c r="G772" s="45">
        <v>0</v>
      </c>
      <c r="H772" s="60">
        <v>0</v>
      </c>
    </row>
    <row r="773" spans="1:8" ht="16" x14ac:dyDescent="0.2">
      <c r="A773" s="46">
        <v>501097</v>
      </c>
      <c r="B773" s="47" t="s">
        <v>1565</v>
      </c>
      <c r="C773" s="47" t="e">
        <f>_xlfn.XLOOKUP(B773,'[1]MDB-Auszug 09.01.2026'!D:D,'[1]MDB-Auszug 09.01.2026'!A:A)</f>
        <v>#N/A</v>
      </c>
      <c r="D773" s="45">
        <v>0</v>
      </c>
      <c r="E773" s="45">
        <v>0</v>
      </c>
      <c r="F773" s="45">
        <v>0</v>
      </c>
      <c r="G773" s="45">
        <v>0</v>
      </c>
      <c r="H773" s="60">
        <v>0</v>
      </c>
    </row>
    <row r="774" spans="1:8" ht="16" x14ac:dyDescent="0.2">
      <c r="A774" s="46">
        <v>501096</v>
      </c>
      <c r="B774" s="47" t="s">
        <v>1566</v>
      </c>
      <c r="C774" s="47" t="e">
        <f>_xlfn.XLOOKUP(B774,'[1]MDB-Auszug 09.01.2026'!D:D,'[1]MDB-Auszug 09.01.2026'!A:A)</f>
        <v>#N/A</v>
      </c>
      <c r="D774" s="45">
        <v>0</v>
      </c>
      <c r="E774" s="45">
        <v>0</v>
      </c>
      <c r="F774" s="45">
        <v>0</v>
      </c>
      <c r="G774" s="45">
        <v>0</v>
      </c>
      <c r="H774" s="60">
        <v>0</v>
      </c>
    </row>
    <row r="775" spans="1:8" ht="16" x14ac:dyDescent="0.2">
      <c r="A775" s="46">
        <v>501088</v>
      </c>
      <c r="B775" s="47" t="s">
        <v>1567</v>
      </c>
      <c r="C775" s="47" t="e">
        <f>_xlfn.XLOOKUP(B775,'[1]MDB-Auszug 09.01.2026'!D:D,'[1]MDB-Auszug 09.01.2026'!A:A)</f>
        <v>#N/A</v>
      </c>
      <c r="D775" s="45">
        <v>0</v>
      </c>
      <c r="E775" s="45">
        <v>0</v>
      </c>
      <c r="F775" s="45">
        <v>0</v>
      </c>
      <c r="G775" s="45">
        <v>0</v>
      </c>
      <c r="H775" s="60">
        <v>0</v>
      </c>
    </row>
    <row r="776" spans="1:8" ht="16" x14ac:dyDescent="0.2">
      <c r="A776" s="46">
        <v>500781</v>
      </c>
      <c r="B776" s="47" t="s">
        <v>1568</v>
      </c>
      <c r="C776" s="47" t="e">
        <f>_xlfn.XLOOKUP(B776,'[1]MDB-Auszug 09.01.2026'!D:D,'[1]MDB-Auszug 09.01.2026'!A:A)</f>
        <v>#N/A</v>
      </c>
      <c r="D776" s="45">
        <v>0</v>
      </c>
      <c r="E776" s="45">
        <v>0</v>
      </c>
      <c r="F776" s="45">
        <v>0</v>
      </c>
      <c r="G776" s="45">
        <v>0</v>
      </c>
      <c r="H776" s="60">
        <v>0</v>
      </c>
    </row>
    <row r="777" spans="1:8" ht="16" x14ac:dyDescent="0.2">
      <c r="A777" s="46">
        <v>500227</v>
      </c>
      <c r="B777" s="47" t="s">
        <v>1569</v>
      </c>
      <c r="C777" s="47" t="e">
        <f>_xlfn.XLOOKUP(B777,'[1]MDB-Auszug 09.01.2026'!D:D,'[1]MDB-Auszug 09.01.2026'!A:A)</f>
        <v>#N/A</v>
      </c>
      <c r="D777" s="45">
        <v>0</v>
      </c>
      <c r="E777" s="45">
        <v>0</v>
      </c>
      <c r="F777" s="45">
        <v>0</v>
      </c>
      <c r="G777" s="45">
        <v>0</v>
      </c>
      <c r="H777" s="60">
        <v>0</v>
      </c>
    </row>
    <row r="778" spans="1:8" ht="16" x14ac:dyDescent="0.2">
      <c r="A778" s="46">
        <v>501095</v>
      </c>
      <c r="B778" s="47" t="s">
        <v>1570</v>
      </c>
      <c r="C778" s="47" t="e">
        <f>_xlfn.XLOOKUP(B778,'[1]MDB-Auszug 09.01.2026'!D:D,'[1]MDB-Auszug 09.01.2026'!A:A)</f>
        <v>#N/A</v>
      </c>
      <c r="D778" s="45">
        <v>0</v>
      </c>
      <c r="E778" s="45">
        <v>0</v>
      </c>
      <c r="F778" s="45">
        <v>0</v>
      </c>
      <c r="G778" s="45">
        <v>0</v>
      </c>
      <c r="H778" s="60">
        <v>0</v>
      </c>
    </row>
    <row r="779" spans="1:8" ht="16" x14ac:dyDescent="0.2">
      <c r="A779" s="46">
        <v>501091</v>
      </c>
      <c r="B779" s="47" t="s">
        <v>1571</v>
      </c>
      <c r="C779" s="47" t="e">
        <f>_xlfn.XLOOKUP(B779,'[1]MDB-Auszug 09.01.2026'!D:D,'[1]MDB-Auszug 09.01.2026'!A:A)</f>
        <v>#N/A</v>
      </c>
      <c r="D779" s="45">
        <v>0</v>
      </c>
      <c r="E779" s="45">
        <v>0</v>
      </c>
      <c r="F779" s="45">
        <v>0</v>
      </c>
      <c r="G779" s="45">
        <v>0</v>
      </c>
      <c r="H779" s="60">
        <v>0</v>
      </c>
    </row>
    <row r="780" spans="1:8" ht="16" x14ac:dyDescent="0.2">
      <c r="A780" s="46">
        <v>501093</v>
      </c>
      <c r="B780" s="47" t="s">
        <v>1572</v>
      </c>
      <c r="C780" s="47" t="e">
        <f>_xlfn.XLOOKUP(B780,'[1]MDB-Auszug 09.01.2026'!D:D,'[1]MDB-Auszug 09.01.2026'!A:A)</f>
        <v>#N/A</v>
      </c>
      <c r="D780" s="45">
        <v>0</v>
      </c>
      <c r="E780" s="45">
        <v>0</v>
      </c>
      <c r="F780" s="45">
        <v>0</v>
      </c>
      <c r="G780" s="45">
        <v>0</v>
      </c>
      <c r="H780" s="60">
        <v>0</v>
      </c>
    </row>
    <row r="781" spans="1:8" ht="16" x14ac:dyDescent="0.2">
      <c r="A781" s="46">
        <v>500224</v>
      </c>
      <c r="B781" s="47" t="s">
        <v>1573</v>
      </c>
      <c r="C781" s="47" t="e">
        <f>_xlfn.XLOOKUP(B781,'[1]MDB-Auszug 09.01.2026'!D:D,'[1]MDB-Auszug 09.01.2026'!A:A)</f>
        <v>#N/A</v>
      </c>
      <c r="D781" s="45">
        <v>0</v>
      </c>
      <c r="E781" s="45">
        <v>0</v>
      </c>
      <c r="F781" s="45">
        <v>0</v>
      </c>
      <c r="G781" s="45">
        <v>0</v>
      </c>
      <c r="H781" s="60">
        <v>0</v>
      </c>
    </row>
    <row r="782" spans="1:8" ht="16" x14ac:dyDescent="0.2">
      <c r="A782" s="46">
        <v>500509</v>
      </c>
      <c r="B782" s="47" t="s">
        <v>1574</v>
      </c>
      <c r="C782" s="47" t="e">
        <f>_xlfn.XLOOKUP(B782,'[1]MDB-Auszug 09.01.2026'!D:D,'[1]MDB-Auszug 09.01.2026'!A:A)</f>
        <v>#N/A</v>
      </c>
      <c r="D782" s="45">
        <v>0</v>
      </c>
      <c r="E782" s="45">
        <v>0</v>
      </c>
      <c r="F782" s="45">
        <v>0</v>
      </c>
      <c r="G782" s="45">
        <v>0</v>
      </c>
      <c r="H782" s="60">
        <v>0</v>
      </c>
    </row>
    <row r="783" spans="1:8" ht="16" x14ac:dyDescent="0.2">
      <c r="A783" s="46">
        <v>500313</v>
      </c>
      <c r="B783" s="47" t="s">
        <v>1575</v>
      </c>
      <c r="C783" s="47" t="e">
        <f>_xlfn.XLOOKUP(B783,'[1]MDB-Auszug 09.01.2026'!D:D,'[1]MDB-Auszug 09.01.2026'!A:A)</f>
        <v>#N/A</v>
      </c>
      <c r="D783" s="45">
        <v>0</v>
      </c>
      <c r="E783" s="45">
        <v>0</v>
      </c>
      <c r="F783" s="45">
        <v>0</v>
      </c>
      <c r="G783" s="45">
        <v>0</v>
      </c>
      <c r="H783" s="60">
        <v>0</v>
      </c>
    </row>
    <row r="784" spans="1:8" ht="16" x14ac:dyDescent="0.2">
      <c r="A784" s="46">
        <v>500511</v>
      </c>
      <c r="B784" s="47" t="s">
        <v>1576</v>
      </c>
      <c r="C784" s="47" t="e">
        <f>_xlfn.XLOOKUP(B784,'[1]MDB-Auszug 09.01.2026'!D:D,'[1]MDB-Auszug 09.01.2026'!A:A)</f>
        <v>#N/A</v>
      </c>
      <c r="D784" s="45">
        <v>0</v>
      </c>
      <c r="E784" s="45">
        <v>0</v>
      </c>
      <c r="F784" s="45">
        <v>0</v>
      </c>
      <c r="G784" s="45">
        <v>0</v>
      </c>
      <c r="H784" s="60">
        <v>0</v>
      </c>
    </row>
    <row r="785" spans="1:8" ht="16" x14ac:dyDescent="0.2">
      <c r="A785" s="46">
        <v>500226</v>
      </c>
      <c r="B785" s="47" t="s">
        <v>1577</v>
      </c>
      <c r="C785" s="47" t="e">
        <f>_xlfn.XLOOKUP(B785,'[1]MDB-Auszug 09.01.2026'!D:D,'[1]MDB-Auszug 09.01.2026'!A:A)</f>
        <v>#N/A</v>
      </c>
      <c r="D785" s="45">
        <v>0</v>
      </c>
      <c r="E785" s="45">
        <v>0</v>
      </c>
      <c r="F785" s="45">
        <v>0</v>
      </c>
      <c r="G785" s="45">
        <v>0</v>
      </c>
      <c r="H785" s="60">
        <v>0</v>
      </c>
    </row>
    <row r="786" spans="1:8" ht="16" x14ac:dyDescent="0.2">
      <c r="A786" s="46">
        <v>500510</v>
      </c>
      <c r="B786" s="47" t="s">
        <v>1578</v>
      </c>
      <c r="C786" s="47" t="e">
        <f>_xlfn.XLOOKUP(B786,'[1]MDB-Auszug 09.01.2026'!D:D,'[1]MDB-Auszug 09.01.2026'!A:A)</f>
        <v>#N/A</v>
      </c>
      <c r="D786" s="45">
        <v>0</v>
      </c>
      <c r="E786" s="45">
        <v>0</v>
      </c>
      <c r="F786" s="45">
        <v>0</v>
      </c>
      <c r="G786" s="45">
        <v>0</v>
      </c>
      <c r="H786" s="60">
        <v>0</v>
      </c>
    </row>
    <row r="787" spans="1:8" ht="16" x14ac:dyDescent="0.2">
      <c r="A787" s="46">
        <v>501084</v>
      </c>
      <c r="B787" s="47" t="s">
        <v>1579</v>
      </c>
      <c r="C787" s="47" t="e">
        <f>_xlfn.XLOOKUP(B787,'[1]MDB-Auszug 09.01.2026'!D:D,'[1]MDB-Auszug 09.01.2026'!A:A)</f>
        <v>#N/A</v>
      </c>
      <c r="D787" s="45">
        <v>0</v>
      </c>
      <c r="E787" s="45">
        <v>0</v>
      </c>
      <c r="F787" s="45">
        <v>0</v>
      </c>
      <c r="G787" s="45">
        <v>0</v>
      </c>
      <c r="H787" s="60">
        <v>0</v>
      </c>
    </row>
    <row r="788" spans="1:8" ht="16" x14ac:dyDescent="0.2">
      <c r="A788" s="46">
        <v>501080</v>
      </c>
      <c r="B788" s="47" t="s">
        <v>1580</v>
      </c>
      <c r="C788" s="47" t="e">
        <f>_xlfn.XLOOKUP(B788,'[1]MDB-Auszug 09.01.2026'!D:D,'[1]MDB-Auszug 09.01.2026'!A:A)</f>
        <v>#N/A</v>
      </c>
      <c r="D788" s="45">
        <v>0</v>
      </c>
      <c r="E788" s="45">
        <v>0</v>
      </c>
      <c r="F788" s="45">
        <v>0</v>
      </c>
      <c r="G788" s="45">
        <v>0</v>
      </c>
      <c r="H788" s="60">
        <v>0</v>
      </c>
    </row>
    <row r="789" spans="1:8" ht="16" x14ac:dyDescent="0.2">
      <c r="A789" s="46">
        <v>501086</v>
      </c>
      <c r="B789" s="47" t="s">
        <v>1581</v>
      </c>
      <c r="C789" s="47" t="e">
        <f>_xlfn.XLOOKUP(B789,'[1]MDB-Auszug 09.01.2026'!D:D,'[1]MDB-Auszug 09.01.2026'!A:A)</f>
        <v>#N/A</v>
      </c>
      <c r="D789" s="45">
        <v>0</v>
      </c>
      <c r="E789" s="45">
        <v>0</v>
      </c>
      <c r="F789" s="45">
        <v>0</v>
      </c>
      <c r="G789" s="45">
        <v>0</v>
      </c>
      <c r="H789" s="60">
        <v>0</v>
      </c>
    </row>
    <row r="790" spans="1:8" ht="16" x14ac:dyDescent="0.2">
      <c r="A790" s="46">
        <v>501073</v>
      </c>
      <c r="B790" s="47" t="s">
        <v>1582</v>
      </c>
      <c r="C790" s="47" t="e">
        <f>_xlfn.XLOOKUP(B790,'[1]MDB-Auszug 09.01.2026'!D:D,'[1]MDB-Auszug 09.01.2026'!A:A)</f>
        <v>#N/A</v>
      </c>
      <c r="D790" s="45">
        <v>0.80520000000000003</v>
      </c>
      <c r="E790" s="45">
        <v>0.97799999999999998</v>
      </c>
      <c r="F790" s="45">
        <v>0</v>
      </c>
      <c r="G790" s="45">
        <v>0</v>
      </c>
      <c r="H790" s="60">
        <v>0</v>
      </c>
    </row>
    <row r="791" spans="1:8" ht="16" x14ac:dyDescent="0.2">
      <c r="A791" s="46">
        <v>501105</v>
      </c>
      <c r="B791" s="47" t="s">
        <v>1583</v>
      </c>
      <c r="C791" s="47" t="e">
        <f>_xlfn.XLOOKUP(B791,'[1]MDB-Auszug 09.01.2026'!D:D,'[1]MDB-Auszug 09.01.2026'!A:A)</f>
        <v>#N/A</v>
      </c>
      <c r="D791" s="45">
        <v>0</v>
      </c>
      <c r="E791" s="45">
        <v>0</v>
      </c>
      <c r="F791" s="45">
        <v>0</v>
      </c>
      <c r="G791" s="45">
        <v>0</v>
      </c>
      <c r="H791" s="60">
        <v>0</v>
      </c>
    </row>
    <row r="792" spans="1:8" ht="16" x14ac:dyDescent="0.2">
      <c r="A792" s="46">
        <v>500783</v>
      </c>
      <c r="B792" s="47" t="s">
        <v>1584</v>
      </c>
      <c r="C792" s="47" t="e">
        <f>_xlfn.XLOOKUP(B792,'[1]MDB-Auszug 09.01.2026'!D:D,'[1]MDB-Auszug 09.01.2026'!A:A)</f>
        <v>#N/A</v>
      </c>
      <c r="D792" s="45">
        <v>0</v>
      </c>
      <c r="E792" s="45">
        <v>0</v>
      </c>
      <c r="F792" s="45">
        <v>0</v>
      </c>
      <c r="G792" s="45">
        <v>0</v>
      </c>
      <c r="H792" s="60">
        <v>0</v>
      </c>
    </row>
    <row r="793" spans="1:8" ht="16" x14ac:dyDescent="0.2">
      <c r="A793" s="46">
        <v>500786</v>
      </c>
      <c r="B793" s="47" t="s">
        <v>1585</v>
      </c>
      <c r="C793" s="47" t="e">
        <f>_xlfn.XLOOKUP(B793,'[1]MDB-Auszug 09.01.2026'!D:D,'[1]MDB-Auszug 09.01.2026'!A:A)</f>
        <v>#N/A</v>
      </c>
      <c r="D793" s="45">
        <v>0</v>
      </c>
      <c r="E793" s="45">
        <v>0</v>
      </c>
      <c r="F793" s="45">
        <v>0</v>
      </c>
      <c r="G793" s="45">
        <v>0</v>
      </c>
      <c r="H793" s="60">
        <v>0</v>
      </c>
    </row>
    <row r="794" spans="1:8" ht="16" x14ac:dyDescent="0.2">
      <c r="A794" s="46">
        <v>501092</v>
      </c>
      <c r="B794" s="47" t="s">
        <v>1586</v>
      </c>
      <c r="C794" s="47" t="e">
        <f>_xlfn.XLOOKUP(B794,'[1]MDB-Auszug 09.01.2026'!D:D,'[1]MDB-Auszug 09.01.2026'!A:A)</f>
        <v>#N/A</v>
      </c>
      <c r="D794" s="45">
        <v>0</v>
      </c>
      <c r="E794" s="45">
        <v>0</v>
      </c>
      <c r="F794" s="45">
        <v>0</v>
      </c>
      <c r="G794" s="45">
        <v>0</v>
      </c>
      <c r="H794" s="60">
        <v>0</v>
      </c>
    </row>
    <row r="795" spans="1:8" ht="16" x14ac:dyDescent="0.2">
      <c r="A795" s="46">
        <v>501094</v>
      </c>
      <c r="B795" s="47" t="s">
        <v>1587</v>
      </c>
      <c r="C795" s="47" t="e">
        <f>_xlfn.XLOOKUP(B795,'[1]MDB-Auszug 09.01.2026'!D:D,'[1]MDB-Auszug 09.01.2026'!A:A)</f>
        <v>#N/A</v>
      </c>
      <c r="D795" s="45">
        <v>0</v>
      </c>
      <c r="E795" s="45">
        <v>0</v>
      </c>
      <c r="F795" s="45">
        <v>0</v>
      </c>
      <c r="G795" s="45">
        <v>0</v>
      </c>
      <c r="H795" s="60">
        <v>0</v>
      </c>
    </row>
    <row r="796" spans="1:8" ht="16" x14ac:dyDescent="0.2">
      <c r="A796" s="46">
        <v>501130</v>
      </c>
      <c r="B796" s="47" t="s">
        <v>1588</v>
      </c>
      <c r="C796" s="47" t="e">
        <f>_xlfn.XLOOKUP(B796,'[1]MDB-Auszug 09.01.2026'!D:D,'[1]MDB-Auszug 09.01.2026'!A:A)</f>
        <v>#N/A</v>
      </c>
      <c r="D796" s="45">
        <v>0</v>
      </c>
      <c r="E796" s="45">
        <v>0</v>
      </c>
      <c r="F796" s="45">
        <v>0</v>
      </c>
      <c r="G796" s="45">
        <v>0</v>
      </c>
      <c r="H796" s="60">
        <v>0</v>
      </c>
    </row>
    <row r="797" spans="1:8" ht="16" x14ac:dyDescent="0.2">
      <c r="A797" s="46">
        <v>501132</v>
      </c>
      <c r="B797" s="47" t="s">
        <v>1589</v>
      </c>
      <c r="C797" s="47" t="e">
        <f>_xlfn.XLOOKUP(B797,'[1]MDB-Auszug 09.01.2026'!D:D,'[1]MDB-Auszug 09.01.2026'!A:A)</f>
        <v>#N/A</v>
      </c>
      <c r="D797" s="45">
        <v>0</v>
      </c>
      <c r="E797" s="45">
        <v>0</v>
      </c>
      <c r="F797" s="45">
        <v>0</v>
      </c>
      <c r="G797" s="45">
        <v>0</v>
      </c>
      <c r="H797" s="60">
        <v>0</v>
      </c>
    </row>
    <row r="798" spans="1:8" ht="16" x14ac:dyDescent="0.2">
      <c r="A798" s="46">
        <v>501129</v>
      </c>
      <c r="B798" s="47" t="s">
        <v>1590</v>
      </c>
      <c r="C798" s="47" t="e">
        <f>_xlfn.XLOOKUP(B798,'[1]MDB-Auszug 09.01.2026'!D:D,'[1]MDB-Auszug 09.01.2026'!A:A)</f>
        <v>#N/A</v>
      </c>
      <c r="D798" s="45">
        <v>0</v>
      </c>
      <c r="E798" s="45">
        <v>0</v>
      </c>
      <c r="F798" s="45">
        <v>0</v>
      </c>
      <c r="G798" s="45">
        <v>0</v>
      </c>
      <c r="H798" s="60">
        <v>0</v>
      </c>
    </row>
    <row r="799" spans="1:8" ht="16" x14ac:dyDescent="0.2">
      <c r="A799" s="46">
        <v>500785</v>
      </c>
      <c r="B799" s="47" t="s">
        <v>1591</v>
      </c>
      <c r="C799" s="47" t="e">
        <f>_xlfn.XLOOKUP(B799,'[1]MDB-Auszug 09.01.2026'!D:D,'[1]MDB-Auszug 09.01.2026'!A:A)</f>
        <v>#N/A</v>
      </c>
      <c r="D799" s="45">
        <v>0</v>
      </c>
      <c r="E799" s="45">
        <v>0</v>
      </c>
      <c r="F799" s="45">
        <v>0</v>
      </c>
      <c r="G799" s="45">
        <v>0</v>
      </c>
      <c r="H799" s="60">
        <v>0</v>
      </c>
    </row>
    <row r="800" spans="1:8" ht="16" x14ac:dyDescent="0.2">
      <c r="A800" s="46">
        <v>501108</v>
      </c>
      <c r="B800" s="47" t="s">
        <v>1592</v>
      </c>
      <c r="C800" s="47" t="e">
        <f>_xlfn.XLOOKUP(B800,'[1]MDB-Auszug 09.01.2026'!D:D,'[1]MDB-Auszug 09.01.2026'!A:A)</f>
        <v>#N/A</v>
      </c>
      <c r="D800" s="45">
        <v>0</v>
      </c>
      <c r="E800" s="45">
        <v>0</v>
      </c>
      <c r="F800" s="45">
        <v>0</v>
      </c>
      <c r="G800" s="45">
        <v>0</v>
      </c>
      <c r="H800" s="60">
        <v>0</v>
      </c>
    </row>
    <row r="801" spans="1:8" ht="16" x14ac:dyDescent="0.2">
      <c r="A801" s="46">
        <v>501117</v>
      </c>
      <c r="B801" s="47" t="s">
        <v>1593</v>
      </c>
      <c r="C801" s="47" t="e">
        <f>_xlfn.XLOOKUP(B801,'[1]MDB-Auszug 09.01.2026'!D:D,'[1]MDB-Auszug 09.01.2026'!A:A)</f>
        <v>#N/A</v>
      </c>
      <c r="D801" s="45">
        <v>0</v>
      </c>
      <c r="E801" s="45">
        <v>0</v>
      </c>
      <c r="F801" s="45">
        <v>0</v>
      </c>
      <c r="G801" s="45">
        <v>0</v>
      </c>
      <c r="H801" s="60">
        <v>0</v>
      </c>
    </row>
    <row r="802" spans="1:8" ht="16" x14ac:dyDescent="0.2">
      <c r="A802" s="46">
        <v>500782</v>
      </c>
      <c r="B802" s="47" t="s">
        <v>1594</v>
      </c>
      <c r="C802" s="47" t="e">
        <f>_xlfn.XLOOKUP(B802,'[1]MDB-Auszug 09.01.2026'!D:D,'[1]MDB-Auszug 09.01.2026'!A:A)</f>
        <v>#N/A</v>
      </c>
      <c r="D802" s="45">
        <v>0</v>
      </c>
      <c r="E802" s="45">
        <v>0</v>
      </c>
      <c r="F802" s="45">
        <v>0</v>
      </c>
      <c r="G802" s="45">
        <v>0</v>
      </c>
      <c r="H802" s="60">
        <v>0</v>
      </c>
    </row>
    <row r="803" spans="1:8" ht="16" x14ac:dyDescent="0.2">
      <c r="A803" s="46">
        <v>500784</v>
      </c>
      <c r="B803" s="47" t="s">
        <v>1595</v>
      </c>
      <c r="C803" s="47" t="e">
        <f>_xlfn.XLOOKUP(B803,'[1]MDB-Auszug 09.01.2026'!D:D,'[1]MDB-Auszug 09.01.2026'!A:A)</f>
        <v>#N/A</v>
      </c>
      <c r="D803" s="45">
        <v>0</v>
      </c>
      <c r="E803" s="45">
        <v>0</v>
      </c>
      <c r="F803" s="45">
        <v>0</v>
      </c>
      <c r="G803" s="45">
        <v>0</v>
      </c>
      <c r="H803" s="60">
        <v>0</v>
      </c>
    </row>
    <row r="804" spans="1:8" ht="16" x14ac:dyDescent="0.2">
      <c r="A804" s="46">
        <v>500779</v>
      </c>
      <c r="B804" s="47" t="s">
        <v>1596</v>
      </c>
      <c r="C804" s="47" t="e">
        <f>_xlfn.XLOOKUP(B804,'[1]MDB-Auszug 09.01.2026'!D:D,'[1]MDB-Auszug 09.01.2026'!A:A)</f>
        <v>#N/A</v>
      </c>
      <c r="D804" s="45">
        <v>0</v>
      </c>
      <c r="E804" s="45">
        <v>0</v>
      </c>
      <c r="F804" s="45">
        <v>0</v>
      </c>
      <c r="G804" s="45">
        <v>0</v>
      </c>
      <c r="H804" s="60">
        <v>0</v>
      </c>
    </row>
    <row r="805" spans="1:8" ht="16" x14ac:dyDescent="0.2">
      <c r="A805" s="46">
        <v>501123</v>
      </c>
      <c r="B805" s="47" t="s">
        <v>1597</v>
      </c>
      <c r="C805" s="47" t="e">
        <f>_xlfn.XLOOKUP(B805,'[1]MDB-Auszug 09.01.2026'!D:D,'[1]MDB-Auszug 09.01.2026'!A:A)</f>
        <v>#N/A</v>
      </c>
      <c r="D805" s="45">
        <v>0</v>
      </c>
      <c r="E805" s="45">
        <v>0</v>
      </c>
      <c r="F805" s="45">
        <v>0</v>
      </c>
      <c r="G805" s="45">
        <v>0</v>
      </c>
      <c r="H805" s="60">
        <v>0</v>
      </c>
    </row>
    <row r="806" spans="1:8" ht="16" x14ac:dyDescent="0.2">
      <c r="A806" s="46">
        <v>501121</v>
      </c>
      <c r="B806" s="47" t="s">
        <v>1598</v>
      </c>
      <c r="C806" s="47" t="e">
        <f>_xlfn.XLOOKUP(B806,'[1]MDB-Auszug 09.01.2026'!D:D,'[1]MDB-Auszug 09.01.2026'!A:A)</f>
        <v>#N/A</v>
      </c>
      <c r="D806" s="45">
        <v>0</v>
      </c>
      <c r="E806" s="45">
        <v>0</v>
      </c>
      <c r="F806" s="45">
        <v>0</v>
      </c>
      <c r="G806" s="45">
        <v>0</v>
      </c>
      <c r="H806" s="60">
        <v>0</v>
      </c>
    </row>
    <row r="807" spans="1:8" ht="16" x14ac:dyDescent="0.2">
      <c r="A807" s="46">
        <v>501120</v>
      </c>
      <c r="B807" s="47" t="s">
        <v>1599</v>
      </c>
      <c r="C807" s="47" t="e">
        <f>_xlfn.XLOOKUP(B807,'[1]MDB-Auszug 09.01.2026'!D:D,'[1]MDB-Auszug 09.01.2026'!A:A)</f>
        <v>#N/A</v>
      </c>
      <c r="D807" s="45">
        <v>0</v>
      </c>
      <c r="E807" s="45">
        <v>0</v>
      </c>
      <c r="F807" s="45">
        <v>0</v>
      </c>
      <c r="G807" s="45">
        <v>0</v>
      </c>
      <c r="H807" s="60">
        <v>0</v>
      </c>
    </row>
    <row r="808" spans="1:8" ht="16" x14ac:dyDescent="0.2">
      <c r="A808" s="46">
        <v>501122</v>
      </c>
      <c r="B808" s="47" t="s">
        <v>1600</v>
      </c>
      <c r="C808" s="47" t="e">
        <f>_xlfn.XLOOKUP(B808,'[1]MDB-Auszug 09.01.2026'!D:D,'[1]MDB-Auszug 09.01.2026'!A:A)</f>
        <v>#N/A</v>
      </c>
      <c r="D808" s="45">
        <v>0</v>
      </c>
      <c r="E808" s="45">
        <v>0</v>
      </c>
      <c r="F808" s="45">
        <v>0</v>
      </c>
      <c r="G808" s="45">
        <v>0</v>
      </c>
      <c r="H808" s="60">
        <v>0</v>
      </c>
    </row>
    <row r="809" spans="1:8" ht="16" x14ac:dyDescent="0.2">
      <c r="A809" s="46">
        <v>501127</v>
      </c>
      <c r="B809" s="47" t="s">
        <v>1601</v>
      </c>
      <c r="C809" s="47" t="e">
        <f>_xlfn.XLOOKUP(B809,'[1]MDB-Auszug 09.01.2026'!D:D,'[1]MDB-Auszug 09.01.2026'!A:A)</f>
        <v>#N/A</v>
      </c>
      <c r="D809" s="45">
        <v>0</v>
      </c>
      <c r="E809" s="45">
        <v>0</v>
      </c>
      <c r="F809" s="45">
        <v>0</v>
      </c>
      <c r="G809" s="45">
        <v>0</v>
      </c>
      <c r="H809" s="60">
        <v>0</v>
      </c>
    </row>
    <row r="810" spans="1:8" ht="16" x14ac:dyDescent="0.2">
      <c r="A810" s="46">
        <v>501128</v>
      </c>
      <c r="B810" s="47" t="s">
        <v>1602</v>
      </c>
      <c r="C810" s="47" t="e">
        <f>_xlfn.XLOOKUP(B810,'[1]MDB-Auszug 09.01.2026'!D:D,'[1]MDB-Auszug 09.01.2026'!A:A)</f>
        <v>#N/A</v>
      </c>
      <c r="D810" s="45">
        <v>0</v>
      </c>
      <c r="E810" s="45">
        <v>0</v>
      </c>
      <c r="F810" s="45">
        <v>0</v>
      </c>
      <c r="G810" s="45">
        <v>0</v>
      </c>
      <c r="H810" s="60">
        <v>0</v>
      </c>
    </row>
    <row r="811" spans="1:8" ht="16" x14ac:dyDescent="0.2">
      <c r="A811" s="46">
        <v>501110</v>
      </c>
      <c r="B811" s="47" t="s">
        <v>1603</v>
      </c>
      <c r="C811" s="47" t="e">
        <f>_xlfn.XLOOKUP(B811,'[1]MDB-Auszug 09.01.2026'!D:D,'[1]MDB-Auszug 09.01.2026'!A:A)</f>
        <v>#N/A</v>
      </c>
      <c r="D811" s="45">
        <v>0</v>
      </c>
      <c r="E811" s="45">
        <v>0</v>
      </c>
      <c r="F811" s="45">
        <v>0</v>
      </c>
      <c r="G811" s="45">
        <v>0</v>
      </c>
      <c r="H811" s="60">
        <v>0</v>
      </c>
    </row>
    <row r="812" spans="1:8" ht="16" x14ac:dyDescent="0.2">
      <c r="A812" s="46">
        <v>501112</v>
      </c>
      <c r="B812" s="47" t="s">
        <v>1604</v>
      </c>
      <c r="C812" s="47" t="e">
        <f>_xlfn.XLOOKUP(B812,'[1]MDB-Auszug 09.01.2026'!D:D,'[1]MDB-Auszug 09.01.2026'!A:A)</f>
        <v>#N/A</v>
      </c>
      <c r="D812" s="45">
        <v>0</v>
      </c>
      <c r="E812" s="45">
        <v>0</v>
      </c>
      <c r="F812" s="45">
        <v>0</v>
      </c>
      <c r="G812" s="45">
        <v>0</v>
      </c>
      <c r="H812" s="60">
        <v>0</v>
      </c>
    </row>
    <row r="813" spans="1:8" ht="16" x14ac:dyDescent="0.2">
      <c r="A813" s="46">
        <v>501116</v>
      </c>
      <c r="B813" s="47" t="s">
        <v>1605</v>
      </c>
      <c r="C813" s="47" t="e">
        <f>_xlfn.XLOOKUP(B813,'[1]MDB-Auszug 09.01.2026'!D:D,'[1]MDB-Auszug 09.01.2026'!A:A)</f>
        <v>#N/A</v>
      </c>
      <c r="D813" s="45">
        <v>0</v>
      </c>
      <c r="E813" s="45">
        <v>0</v>
      </c>
      <c r="F813" s="45">
        <v>0</v>
      </c>
      <c r="G813" s="45">
        <v>0</v>
      </c>
      <c r="H813" s="60">
        <v>0</v>
      </c>
    </row>
    <row r="814" spans="1:8" ht="16" x14ac:dyDescent="0.2">
      <c r="A814" s="46">
        <v>501109</v>
      </c>
      <c r="B814" s="47" t="s">
        <v>1606</v>
      </c>
      <c r="C814" s="47" t="e">
        <f>_xlfn.XLOOKUP(B814,'[1]MDB-Auszug 09.01.2026'!D:D,'[1]MDB-Auszug 09.01.2026'!A:A)</f>
        <v>#N/A</v>
      </c>
      <c r="D814" s="45">
        <v>0</v>
      </c>
      <c r="E814" s="45">
        <v>0</v>
      </c>
      <c r="F814" s="45">
        <v>0</v>
      </c>
      <c r="G814" s="45">
        <v>0</v>
      </c>
      <c r="H814" s="60">
        <v>0</v>
      </c>
    </row>
    <row r="815" spans="1:8" ht="16" x14ac:dyDescent="0.2">
      <c r="A815" s="46">
        <v>500789</v>
      </c>
      <c r="B815" s="47" t="s">
        <v>1607</v>
      </c>
      <c r="C815" s="47" t="e">
        <f>_xlfn.XLOOKUP(B815,'[1]MDB-Auszug 09.01.2026'!D:D,'[1]MDB-Auszug 09.01.2026'!A:A)</f>
        <v>#N/A</v>
      </c>
      <c r="D815" s="45">
        <v>0</v>
      </c>
      <c r="E815" s="45">
        <v>0</v>
      </c>
      <c r="F815" s="45">
        <v>0</v>
      </c>
      <c r="G815" s="45">
        <v>0</v>
      </c>
      <c r="H815" s="60">
        <v>0</v>
      </c>
    </row>
    <row r="816" spans="1:8" ht="16" x14ac:dyDescent="0.2">
      <c r="A816" s="46">
        <v>501124</v>
      </c>
      <c r="B816" s="47" t="s">
        <v>1608</v>
      </c>
      <c r="C816" s="47" t="s">
        <v>1609</v>
      </c>
      <c r="D816" s="45">
        <v>0</v>
      </c>
      <c r="E816" s="45">
        <v>0</v>
      </c>
      <c r="F816" s="45">
        <v>0</v>
      </c>
      <c r="G816" s="45">
        <v>0</v>
      </c>
      <c r="H816" s="60">
        <v>0</v>
      </c>
    </row>
    <row r="817" spans="1:8" ht="16" x14ac:dyDescent="0.2">
      <c r="A817" s="46">
        <v>501126</v>
      </c>
      <c r="B817" s="47" t="s">
        <v>1610</v>
      </c>
      <c r="C817" s="47" t="s">
        <v>1611</v>
      </c>
      <c r="D817" s="45">
        <v>0</v>
      </c>
      <c r="E817" s="45">
        <v>0</v>
      </c>
      <c r="F817" s="45">
        <v>0</v>
      </c>
      <c r="G817" s="45">
        <v>0</v>
      </c>
      <c r="H817" s="60">
        <v>0</v>
      </c>
    </row>
    <row r="818" spans="1:8" ht="16" x14ac:dyDescent="0.2">
      <c r="A818" s="46">
        <v>501125</v>
      </c>
      <c r="B818" s="47" t="s">
        <v>1612</v>
      </c>
      <c r="C818" s="47" t="s">
        <v>1613</v>
      </c>
      <c r="D818" s="45">
        <v>0</v>
      </c>
      <c r="E818" s="45">
        <v>0</v>
      </c>
      <c r="F818" s="45">
        <v>0</v>
      </c>
      <c r="G818" s="45">
        <v>0</v>
      </c>
      <c r="H818" s="60">
        <v>0</v>
      </c>
    </row>
    <row r="819" spans="1:8" ht="16" x14ac:dyDescent="0.2">
      <c r="A819" s="46">
        <v>500787</v>
      </c>
      <c r="B819" s="47" t="s">
        <v>1614</v>
      </c>
      <c r="C819" s="47" t="s">
        <v>1615</v>
      </c>
      <c r="D819" s="45">
        <v>0</v>
      </c>
      <c r="E819" s="45">
        <v>0</v>
      </c>
      <c r="F819" s="45">
        <v>0</v>
      </c>
      <c r="G819" s="45">
        <v>0</v>
      </c>
      <c r="H819" s="60">
        <v>0</v>
      </c>
    </row>
    <row r="820" spans="1:8" ht="16" x14ac:dyDescent="0.2">
      <c r="A820" s="46">
        <v>500794</v>
      </c>
      <c r="B820" s="47" t="s">
        <v>1616</v>
      </c>
      <c r="C820" s="47" t="s">
        <v>1617</v>
      </c>
      <c r="D820" s="45">
        <v>0</v>
      </c>
      <c r="E820" s="45">
        <v>0</v>
      </c>
      <c r="F820" s="45">
        <v>0</v>
      </c>
      <c r="G820" s="45">
        <v>0</v>
      </c>
      <c r="H820" s="60">
        <v>0</v>
      </c>
    </row>
    <row r="821" spans="1:8" ht="16" x14ac:dyDescent="0.2">
      <c r="A821" s="46">
        <v>500788</v>
      </c>
      <c r="B821" s="47" t="s">
        <v>1618</v>
      </c>
      <c r="C821" s="47" t="s">
        <v>1619</v>
      </c>
      <c r="D821" s="45">
        <v>0</v>
      </c>
      <c r="E821" s="45">
        <v>0</v>
      </c>
      <c r="F821" s="45">
        <v>0</v>
      </c>
      <c r="G821" s="45">
        <v>0</v>
      </c>
      <c r="H821" s="60">
        <v>0</v>
      </c>
    </row>
    <row r="822" spans="1:8" ht="16" x14ac:dyDescent="0.2">
      <c r="A822" s="46">
        <v>501157</v>
      </c>
      <c r="B822" s="47" t="s">
        <v>1620</v>
      </c>
      <c r="C822" s="47" t="s">
        <v>1621</v>
      </c>
      <c r="D822" s="45">
        <v>0</v>
      </c>
      <c r="E822" s="45">
        <v>0</v>
      </c>
      <c r="F822" s="45">
        <v>0</v>
      </c>
      <c r="G822" s="45">
        <v>0</v>
      </c>
      <c r="H822" s="60">
        <v>0</v>
      </c>
    </row>
    <row r="823" spans="1:8" ht="16" x14ac:dyDescent="0.2">
      <c r="A823" s="46">
        <v>501148</v>
      </c>
      <c r="B823" s="47" t="s">
        <v>1622</v>
      </c>
      <c r="C823" s="47" t="s">
        <v>1623</v>
      </c>
      <c r="D823" s="45">
        <v>0</v>
      </c>
      <c r="E823" s="45">
        <v>0</v>
      </c>
      <c r="F823" s="45">
        <v>0</v>
      </c>
      <c r="G823" s="45">
        <v>0</v>
      </c>
      <c r="H823" s="60">
        <v>0</v>
      </c>
    </row>
    <row r="824" spans="1:8" ht="16" x14ac:dyDescent="0.2">
      <c r="A824" s="46">
        <v>500799</v>
      </c>
      <c r="B824" s="47" t="s">
        <v>1624</v>
      </c>
      <c r="C824" s="47" t="s">
        <v>1625</v>
      </c>
      <c r="D824" s="45">
        <v>0</v>
      </c>
      <c r="E824" s="45">
        <v>0</v>
      </c>
      <c r="F824" s="45">
        <v>0</v>
      </c>
      <c r="G824" s="45">
        <v>0</v>
      </c>
      <c r="H824" s="60">
        <v>0</v>
      </c>
    </row>
    <row r="825" spans="1:8" ht="16" x14ac:dyDescent="0.2">
      <c r="A825" s="46">
        <v>501147</v>
      </c>
      <c r="B825" s="47" t="s">
        <v>1626</v>
      </c>
      <c r="C825" s="47" t="s">
        <v>1627</v>
      </c>
      <c r="D825" s="45">
        <v>0</v>
      </c>
      <c r="E825" s="45">
        <v>0</v>
      </c>
      <c r="F825" s="45">
        <v>0</v>
      </c>
      <c r="G825" s="45">
        <v>0</v>
      </c>
      <c r="H825" s="60">
        <v>0</v>
      </c>
    </row>
    <row r="826" spans="1:8" ht="16" x14ac:dyDescent="0.2">
      <c r="A826" s="46">
        <v>501141</v>
      </c>
      <c r="B826" s="47" t="s">
        <v>1628</v>
      </c>
      <c r="C826" s="47" t="s">
        <v>1629</v>
      </c>
      <c r="D826" s="45">
        <v>0</v>
      </c>
      <c r="E826" s="45">
        <v>0</v>
      </c>
      <c r="F826" s="45">
        <v>0</v>
      </c>
      <c r="G826" s="45">
        <v>0</v>
      </c>
      <c r="H826" s="60">
        <v>0</v>
      </c>
    </row>
    <row r="827" spans="1:8" ht="16" x14ac:dyDescent="0.2">
      <c r="A827" s="46">
        <v>501143</v>
      </c>
      <c r="B827" s="47" t="s">
        <v>1630</v>
      </c>
      <c r="C827" s="47" t="s">
        <v>1630</v>
      </c>
      <c r="D827" s="45">
        <v>0</v>
      </c>
      <c r="E827" s="45">
        <v>0</v>
      </c>
      <c r="F827" s="45">
        <v>0</v>
      </c>
      <c r="G827" s="45">
        <v>0</v>
      </c>
      <c r="H827" s="60">
        <v>0</v>
      </c>
    </row>
    <row r="828" spans="1:8" ht="16" x14ac:dyDescent="0.2">
      <c r="A828" s="46">
        <v>501085</v>
      </c>
      <c r="B828" s="47" t="s">
        <v>1631</v>
      </c>
      <c r="C828" s="47" t="s">
        <v>1631</v>
      </c>
      <c r="D828" s="45">
        <v>0</v>
      </c>
      <c r="E828" s="45">
        <v>0</v>
      </c>
      <c r="F828" s="45">
        <v>0</v>
      </c>
      <c r="G828" s="45">
        <v>0</v>
      </c>
      <c r="H828" s="60">
        <v>0</v>
      </c>
    </row>
    <row r="829" spans="1:8" ht="16" x14ac:dyDescent="0.2">
      <c r="A829" s="46">
        <v>501165</v>
      </c>
      <c r="B829" s="47" t="s">
        <v>1632</v>
      </c>
      <c r="C829" s="47" t="s">
        <v>1633</v>
      </c>
      <c r="D829" s="45">
        <v>0</v>
      </c>
      <c r="E829" s="45">
        <v>0</v>
      </c>
      <c r="F829" s="45">
        <v>0</v>
      </c>
      <c r="G829" s="45">
        <v>0</v>
      </c>
      <c r="H829" s="60">
        <v>0</v>
      </c>
    </row>
    <row r="830" spans="1:8" ht="16" x14ac:dyDescent="0.2">
      <c r="A830" s="46">
        <v>501167</v>
      </c>
      <c r="B830" s="47" t="s">
        <v>1634</v>
      </c>
      <c r="C830" s="47" t="s">
        <v>1635</v>
      </c>
      <c r="D830" s="45">
        <v>0</v>
      </c>
      <c r="E830" s="45">
        <v>0</v>
      </c>
      <c r="F830" s="45">
        <v>0</v>
      </c>
      <c r="G830" s="45">
        <v>0</v>
      </c>
      <c r="H830" s="60">
        <v>0</v>
      </c>
    </row>
    <row r="831" spans="1:8" ht="16" x14ac:dyDescent="0.2">
      <c r="A831" s="46">
        <v>501160</v>
      </c>
      <c r="B831" s="47" t="s">
        <v>1636</v>
      </c>
      <c r="C831" s="47" t="s">
        <v>1637</v>
      </c>
      <c r="D831" s="45">
        <v>0</v>
      </c>
      <c r="E831" s="45">
        <v>0</v>
      </c>
      <c r="F831" s="45">
        <v>0</v>
      </c>
      <c r="G831" s="45">
        <v>0</v>
      </c>
      <c r="H831" s="60">
        <v>0</v>
      </c>
    </row>
    <row r="832" spans="1:8" ht="32" x14ac:dyDescent="0.2">
      <c r="A832" s="46">
        <v>500798</v>
      </c>
      <c r="B832" s="47" t="s">
        <v>1638</v>
      </c>
      <c r="C832" s="47" t="s">
        <v>1639</v>
      </c>
      <c r="D832" s="45">
        <v>0</v>
      </c>
      <c r="E832" s="45">
        <v>0</v>
      </c>
      <c r="F832" s="45">
        <v>0</v>
      </c>
      <c r="G832" s="45">
        <v>0</v>
      </c>
      <c r="H832" s="60">
        <v>0</v>
      </c>
    </row>
    <row r="833" spans="1:8" ht="16" x14ac:dyDescent="0.2">
      <c r="A833" s="46">
        <v>501146</v>
      </c>
      <c r="B833" s="47" t="s">
        <v>1640</v>
      </c>
      <c r="C833" s="47" t="s">
        <v>1641</v>
      </c>
      <c r="D833" s="45">
        <v>0</v>
      </c>
      <c r="E833" s="45">
        <v>0</v>
      </c>
      <c r="F833" s="45">
        <v>0</v>
      </c>
      <c r="G833" s="45">
        <v>0</v>
      </c>
      <c r="H833" s="60">
        <v>0</v>
      </c>
    </row>
    <row r="834" spans="1:8" ht="16" x14ac:dyDescent="0.2">
      <c r="A834" s="46">
        <v>501155</v>
      </c>
      <c r="B834" s="47" t="s">
        <v>1642</v>
      </c>
      <c r="C834" s="47" t="s">
        <v>1643</v>
      </c>
      <c r="D834" s="45">
        <v>0</v>
      </c>
      <c r="E834" s="45">
        <v>0</v>
      </c>
      <c r="F834" s="45">
        <v>0</v>
      </c>
      <c r="G834" s="45">
        <v>0</v>
      </c>
      <c r="H834" s="60">
        <v>0</v>
      </c>
    </row>
    <row r="835" spans="1:8" ht="16" x14ac:dyDescent="0.2">
      <c r="A835" s="46">
        <v>501145</v>
      </c>
      <c r="B835" s="47" t="s">
        <v>1644</v>
      </c>
      <c r="C835" s="47" t="s">
        <v>1645</v>
      </c>
      <c r="D835" s="45">
        <v>0</v>
      </c>
      <c r="E835" s="45">
        <v>0</v>
      </c>
      <c r="F835" s="45">
        <v>0</v>
      </c>
      <c r="G835" s="45">
        <v>0</v>
      </c>
      <c r="H835" s="60">
        <v>0</v>
      </c>
    </row>
    <row r="836" spans="1:8" ht="16" x14ac:dyDescent="0.2">
      <c r="A836" s="46">
        <v>501153</v>
      </c>
      <c r="B836" s="47" t="s">
        <v>1646</v>
      </c>
      <c r="C836" s="47" t="s">
        <v>1647</v>
      </c>
      <c r="D836" s="45">
        <v>0</v>
      </c>
      <c r="E836" s="45">
        <v>0</v>
      </c>
      <c r="F836" s="45">
        <v>0</v>
      </c>
      <c r="G836" s="45">
        <v>0</v>
      </c>
      <c r="H836" s="60">
        <v>0</v>
      </c>
    </row>
    <row r="837" spans="1:8" ht="16" x14ac:dyDescent="0.2">
      <c r="A837" s="46">
        <v>501156</v>
      </c>
      <c r="B837" s="47" t="s">
        <v>1648</v>
      </c>
      <c r="C837" s="47" t="s">
        <v>1649</v>
      </c>
      <c r="D837" s="45">
        <v>0</v>
      </c>
      <c r="E837" s="45">
        <v>0</v>
      </c>
      <c r="F837" s="45">
        <v>0</v>
      </c>
      <c r="G837" s="45">
        <v>0</v>
      </c>
      <c r="H837" s="60">
        <v>0</v>
      </c>
    </row>
    <row r="838" spans="1:8" ht="16" x14ac:dyDescent="0.2">
      <c r="A838" s="46">
        <v>501166</v>
      </c>
      <c r="B838" s="47" t="s">
        <v>1650</v>
      </c>
      <c r="C838" s="47" t="s">
        <v>1651</v>
      </c>
      <c r="D838" s="45">
        <v>0</v>
      </c>
      <c r="E838" s="45">
        <v>0</v>
      </c>
      <c r="F838" s="45">
        <v>0</v>
      </c>
      <c r="G838" s="45">
        <v>0</v>
      </c>
      <c r="H838" s="60">
        <v>0</v>
      </c>
    </row>
    <row r="839" spans="1:8" ht="16" x14ac:dyDescent="0.2">
      <c r="A839" s="46">
        <v>501149</v>
      </c>
      <c r="B839" s="47" t="s">
        <v>1652</v>
      </c>
      <c r="C839" s="47" t="s">
        <v>1653</v>
      </c>
      <c r="D839" s="45">
        <v>0</v>
      </c>
      <c r="E839" s="45">
        <v>0</v>
      </c>
      <c r="F839" s="45">
        <v>0</v>
      </c>
      <c r="G839" s="45">
        <v>0</v>
      </c>
      <c r="H839" s="60">
        <v>0</v>
      </c>
    </row>
    <row r="840" spans="1:8" ht="16" x14ac:dyDescent="0.2">
      <c r="A840" s="46">
        <v>501151</v>
      </c>
      <c r="B840" s="47" t="s">
        <v>1654</v>
      </c>
      <c r="C840" s="47" t="s">
        <v>1655</v>
      </c>
      <c r="D840" s="45">
        <v>0</v>
      </c>
      <c r="E840" s="45">
        <v>0</v>
      </c>
      <c r="F840" s="45">
        <v>0</v>
      </c>
      <c r="G840" s="45">
        <v>0</v>
      </c>
      <c r="H840" s="60">
        <v>0</v>
      </c>
    </row>
    <row r="841" spans="1:8" ht="16" x14ac:dyDescent="0.2">
      <c r="A841" s="46">
        <v>501150</v>
      </c>
      <c r="B841" s="47" t="s">
        <v>1656</v>
      </c>
      <c r="C841" s="47" t="s">
        <v>1657</v>
      </c>
      <c r="D841" s="45">
        <v>0</v>
      </c>
      <c r="E841" s="45">
        <v>0</v>
      </c>
      <c r="F841" s="45">
        <v>0</v>
      </c>
      <c r="G841" s="45">
        <v>0</v>
      </c>
      <c r="H841" s="60">
        <v>0</v>
      </c>
    </row>
    <row r="842" spans="1:8" ht="16" x14ac:dyDescent="0.2">
      <c r="A842" s="46">
        <v>502000</v>
      </c>
      <c r="B842" s="47" t="s">
        <v>1658</v>
      </c>
      <c r="C842" s="47" t="s">
        <v>1659</v>
      </c>
      <c r="D842" s="45">
        <v>0</v>
      </c>
      <c r="E842" s="45">
        <v>0</v>
      </c>
      <c r="F842" s="45">
        <v>0</v>
      </c>
      <c r="G842" s="45">
        <v>0</v>
      </c>
      <c r="H842" s="60">
        <v>0</v>
      </c>
    </row>
    <row r="843" spans="1:8" ht="16" x14ac:dyDescent="0.2">
      <c r="A843" s="46">
        <v>501173</v>
      </c>
      <c r="B843" s="47" t="s">
        <v>1660</v>
      </c>
      <c r="C843" s="47" t="s">
        <v>1661</v>
      </c>
      <c r="D843" s="45">
        <v>0</v>
      </c>
      <c r="E843" s="45">
        <v>0</v>
      </c>
      <c r="F843" s="45">
        <v>0</v>
      </c>
      <c r="G843" s="45">
        <v>0</v>
      </c>
      <c r="H843" s="60">
        <v>0</v>
      </c>
    </row>
    <row r="844" spans="1:8" ht="16" x14ac:dyDescent="0.2">
      <c r="A844" s="46">
        <v>501161</v>
      </c>
      <c r="B844" s="47" t="s">
        <v>1662</v>
      </c>
      <c r="C844" s="47" t="s">
        <v>1663</v>
      </c>
      <c r="D844" s="45">
        <v>0</v>
      </c>
      <c r="E844" s="45">
        <v>0</v>
      </c>
      <c r="F844" s="45">
        <v>0</v>
      </c>
      <c r="G844" s="45">
        <v>0</v>
      </c>
      <c r="H844" s="60">
        <v>0</v>
      </c>
    </row>
    <row r="845" spans="1:8" ht="16" x14ac:dyDescent="0.2">
      <c r="A845" s="46" t="e">
        <f>_xlfn.XLOOKUP(B845,'[1]MDB-Auszug 09.01.2026'!D:D,'[1]MDB-Auszug 09.01.2026'!E:E)</f>
        <v>#N/A</v>
      </c>
      <c r="B845" s="47" t="s">
        <v>1664</v>
      </c>
      <c r="C845" s="47" t="e">
        <f>_xlfn.XLOOKUP(B845,'[1]MDB-Auszug 09.01.2026'!D:D,'[1]MDB-Auszug 09.01.2026'!A:A)</f>
        <v>#N/A</v>
      </c>
      <c r="D845" s="45">
        <v>0</v>
      </c>
      <c r="E845" s="45">
        <v>0</v>
      </c>
      <c r="F845" s="45">
        <v>0</v>
      </c>
      <c r="G845" s="45">
        <v>0</v>
      </c>
      <c r="H845" s="60">
        <v>0</v>
      </c>
    </row>
    <row r="846" spans="1:8" ht="16" x14ac:dyDescent="0.2">
      <c r="A846" s="46" t="e">
        <f>_xlfn.XLOOKUP(B846,'[1]MDB-Auszug 09.01.2026'!D:D,'[1]MDB-Auszug 09.01.2026'!E:E)</f>
        <v>#N/A</v>
      </c>
      <c r="B846" s="47" t="s">
        <v>1665</v>
      </c>
      <c r="C846" s="47" t="e">
        <f>_xlfn.XLOOKUP(B846,'[1]MDB-Auszug 09.01.2026'!D:D,'[1]MDB-Auszug 09.01.2026'!A:A)</f>
        <v>#N/A</v>
      </c>
      <c r="D846" s="45">
        <v>0</v>
      </c>
      <c r="E846" s="45">
        <v>0</v>
      </c>
      <c r="F846" s="45">
        <v>0</v>
      </c>
      <c r="G846" s="45">
        <v>0</v>
      </c>
      <c r="H846" s="60">
        <v>0</v>
      </c>
    </row>
    <row r="847" spans="1:8" ht="16" x14ac:dyDescent="0.2">
      <c r="A847" s="46" t="e">
        <f>_xlfn.XLOOKUP(B847,'[1]MDB-Auszug 09.01.2026'!D:D,'[1]MDB-Auszug 09.01.2026'!E:E)</f>
        <v>#N/A</v>
      </c>
      <c r="B847" s="47" t="s">
        <v>1666</v>
      </c>
      <c r="C847" s="47" t="e">
        <f>_xlfn.XLOOKUP(B847,'[1]MDB-Auszug 09.01.2026'!D:D,'[1]MDB-Auszug 09.01.2026'!A:A)</f>
        <v>#N/A</v>
      </c>
      <c r="D847" s="45">
        <v>0</v>
      </c>
      <c r="E847" s="45">
        <v>0</v>
      </c>
      <c r="F847" s="45">
        <v>0</v>
      </c>
      <c r="G847" s="45">
        <v>0</v>
      </c>
      <c r="H847" s="60">
        <v>0</v>
      </c>
    </row>
    <row r="848" spans="1:8" ht="16" x14ac:dyDescent="0.2">
      <c r="A848" s="46" t="e">
        <f>_xlfn.XLOOKUP(B848,'[1]MDB-Auszug 09.01.2026'!D:D,'[1]MDB-Auszug 09.01.2026'!E:E)</f>
        <v>#N/A</v>
      </c>
      <c r="B848" s="47" t="s">
        <v>1667</v>
      </c>
      <c r="C848" s="47" t="e">
        <f>_xlfn.XLOOKUP(B848,'[1]MDB-Auszug 09.01.2026'!D:D,'[1]MDB-Auszug 09.01.2026'!A:A)</f>
        <v>#N/A</v>
      </c>
      <c r="D848" s="45">
        <v>0</v>
      </c>
      <c r="E848" s="45">
        <v>0</v>
      </c>
      <c r="F848" s="45">
        <v>0</v>
      </c>
      <c r="G848" s="45">
        <v>0</v>
      </c>
      <c r="H848" s="60">
        <v>0</v>
      </c>
    </row>
    <row r="849" spans="1:8" ht="16" x14ac:dyDescent="0.2">
      <c r="A849" s="46" t="e">
        <f>_xlfn.XLOOKUP(B849,'[1]MDB-Auszug 09.01.2026'!D:D,'[1]MDB-Auszug 09.01.2026'!E:E)</f>
        <v>#N/A</v>
      </c>
      <c r="B849" s="47" t="s">
        <v>1668</v>
      </c>
      <c r="C849" s="47" t="e">
        <f>_xlfn.XLOOKUP(B849,'[1]MDB-Auszug 09.01.2026'!D:D,'[1]MDB-Auszug 09.01.2026'!A:A)</f>
        <v>#N/A</v>
      </c>
      <c r="D849" s="45">
        <v>0</v>
      </c>
      <c r="E849" s="45">
        <v>0</v>
      </c>
      <c r="F849" s="45">
        <v>0</v>
      </c>
      <c r="G849" s="45">
        <v>0</v>
      </c>
      <c r="H849" s="60">
        <v>0</v>
      </c>
    </row>
    <row r="850" spans="1:8" ht="16" x14ac:dyDescent="0.2">
      <c r="A850" s="46" t="e">
        <f>_xlfn.XLOOKUP(B850,'[1]MDB-Auszug 09.01.2026'!D:D,'[1]MDB-Auszug 09.01.2026'!E:E)</f>
        <v>#N/A</v>
      </c>
      <c r="B850" s="47" t="s">
        <v>1669</v>
      </c>
      <c r="C850" s="47" t="e">
        <f>_xlfn.XLOOKUP(B850,'[1]MDB-Auszug 09.01.2026'!D:D,'[1]MDB-Auszug 09.01.2026'!A:A)</f>
        <v>#N/A</v>
      </c>
      <c r="D850" s="45">
        <v>0</v>
      </c>
      <c r="E850" s="45">
        <v>0</v>
      </c>
      <c r="F850" s="45">
        <v>0</v>
      </c>
      <c r="G850" s="45">
        <v>0</v>
      </c>
      <c r="H850" s="60">
        <v>0</v>
      </c>
    </row>
    <row r="851" spans="1:8" ht="16" x14ac:dyDescent="0.2">
      <c r="A851" s="46" t="e">
        <f>_xlfn.XLOOKUP(B851,'[1]MDB-Auszug 09.01.2026'!D:D,'[1]MDB-Auszug 09.01.2026'!E:E)</f>
        <v>#N/A</v>
      </c>
      <c r="B851" s="47" t="s">
        <v>1670</v>
      </c>
      <c r="C851" s="47" t="e">
        <f>_xlfn.XLOOKUP(B851,'[1]MDB-Auszug 09.01.2026'!D:D,'[1]MDB-Auszug 09.01.2026'!A:A)</f>
        <v>#N/A</v>
      </c>
      <c r="D851" s="45">
        <v>0</v>
      </c>
      <c r="E851" s="45">
        <v>0</v>
      </c>
      <c r="F851" s="45">
        <v>0</v>
      </c>
      <c r="G851" s="45">
        <v>0</v>
      </c>
      <c r="H851" s="60">
        <v>0</v>
      </c>
    </row>
    <row r="852" spans="1:8" ht="16" x14ac:dyDescent="0.2">
      <c r="A852" s="46" t="e">
        <f>_xlfn.XLOOKUP(B852,'[1]MDB-Auszug 09.01.2026'!D:D,'[1]MDB-Auszug 09.01.2026'!E:E)</f>
        <v>#N/A</v>
      </c>
      <c r="B852" s="47" t="s">
        <v>1671</v>
      </c>
      <c r="C852" s="47" t="e">
        <f>_xlfn.XLOOKUP(B852,'[1]MDB-Auszug 09.01.2026'!D:D,'[1]MDB-Auszug 09.01.2026'!A:A)</f>
        <v>#N/A</v>
      </c>
      <c r="D852" s="45">
        <v>0</v>
      </c>
      <c r="E852" s="45">
        <v>0</v>
      </c>
      <c r="F852" s="45">
        <v>0</v>
      </c>
      <c r="G852" s="45">
        <v>0</v>
      </c>
      <c r="H852" s="60">
        <v>0</v>
      </c>
    </row>
    <row r="853" spans="1:8" ht="16" x14ac:dyDescent="0.2">
      <c r="A853" s="46" t="e">
        <f>_xlfn.XLOOKUP(B853,'[1]MDB-Auszug 09.01.2026'!D:D,'[1]MDB-Auszug 09.01.2026'!E:E)</f>
        <v>#N/A</v>
      </c>
      <c r="B853" s="47" t="s">
        <v>1672</v>
      </c>
      <c r="C853" s="47" t="e">
        <f>_xlfn.XLOOKUP(B853,'[1]MDB-Auszug 09.01.2026'!D:D,'[1]MDB-Auszug 09.01.2026'!A:A)</f>
        <v>#N/A</v>
      </c>
      <c r="D853" s="45">
        <v>0</v>
      </c>
      <c r="E853" s="45">
        <v>0</v>
      </c>
      <c r="F853" s="45">
        <v>0</v>
      </c>
      <c r="G853" s="45">
        <v>0</v>
      </c>
      <c r="H853" s="60">
        <v>0</v>
      </c>
    </row>
    <row r="854" spans="1:8" ht="16" x14ac:dyDescent="0.2">
      <c r="A854" s="46" t="e">
        <f>_xlfn.XLOOKUP(B854,'[1]MDB-Auszug 09.01.2026'!D:D,'[1]MDB-Auszug 09.01.2026'!E:E)</f>
        <v>#N/A</v>
      </c>
      <c r="B854" s="47" t="s">
        <v>1673</v>
      </c>
      <c r="C854" s="47" t="e">
        <f>_xlfn.XLOOKUP(B854,'[1]MDB-Auszug 09.01.2026'!D:D,'[1]MDB-Auszug 09.01.2026'!A:A)</f>
        <v>#N/A</v>
      </c>
      <c r="D854" s="45">
        <v>0</v>
      </c>
      <c r="E854" s="45">
        <v>0</v>
      </c>
      <c r="F854" s="45">
        <v>0</v>
      </c>
      <c r="G854" s="45">
        <v>0</v>
      </c>
      <c r="H854" s="60">
        <v>0</v>
      </c>
    </row>
    <row r="855" spans="1:8" ht="16" x14ac:dyDescent="0.2">
      <c r="A855" s="46" t="e">
        <f>_xlfn.XLOOKUP(B855,'[1]MDB-Auszug 09.01.2026'!D:D,'[1]MDB-Auszug 09.01.2026'!E:E)</f>
        <v>#N/A</v>
      </c>
      <c r="B855" s="47" t="s">
        <v>1674</v>
      </c>
      <c r="C855" s="47" t="e">
        <f>_xlfn.XLOOKUP(B855,'[1]MDB-Auszug 09.01.2026'!D:D,'[1]MDB-Auszug 09.01.2026'!A:A)</f>
        <v>#N/A</v>
      </c>
      <c r="D855" s="45">
        <v>0</v>
      </c>
      <c r="E855" s="45">
        <v>0</v>
      </c>
      <c r="F855" s="45">
        <v>0</v>
      </c>
      <c r="G855" s="45">
        <v>0</v>
      </c>
      <c r="H855" s="60">
        <v>0</v>
      </c>
    </row>
    <row r="856" spans="1:8" ht="16" x14ac:dyDescent="0.2">
      <c r="A856" s="46" t="e">
        <f>_xlfn.XLOOKUP(B856,'[1]MDB-Auszug 09.01.2026'!D:D,'[1]MDB-Auszug 09.01.2026'!E:E)</f>
        <v>#N/A</v>
      </c>
      <c r="B856" s="47" t="s">
        <v>1675</v>
      </c>
      <c r="C856" s="47" t="e">
        <f>_xlfn.XLOOKUP(B856,'[1]MDB-Auszug 09.01.2026'!D:D,'[1]MDB-Auszug 09.01.2026'!A:A)</f>
        <v>#N/A</v>
      </c>
      <c r="D856" s="45">
        <v>0</v>
      </c>
      <c r="E856" s="45">
        <v>0</v>
      </c>
      <c r="F856" s="45">
        <v>0</v>
      </c>
      <c r="G856" s="45">
        <v>0</v>
      </c>
      <c r="H856" s="60">
        <v>0</v>
      </c>
    </row>
    <row r="857" spans="1:8" ht="16" x14ac:dyDescent="0.2">
      <c r="A857" s="46" t="e">
        <f>_xlfn.XLOOKUP(B857,'[1]MDB-Auszug 09.01.2026'!D:D,'[1]MDB-Auszug 09.01.2026'!E:E)</f>
        <v>#N/A</v>
      </c>
      <c r="B857" s="47" t="s">
        <v>1676</v>
      </c>
      <c r="C857" s="47" t="e">
        <f>_xlfn.XLOOKUP(B857,'[1]MDB-Auszug 09.01.2026'!D:D,'[1]MDB-Auszug 09.01.2026'!A:A)</f>
        <v>#N/A</v>
      </c>
      <c r="D857" s="45">
        <v>0</v>
      </c>
      <c r="E857" s="45">
        <v>0</v>
      </c>
      <c r="F857" s="45">
        <v>0</v>
      </c>
      <c r="G857" s="45">
        <v>0</v>
      </c>
      <c r="H857" s="60">
        <v>0</v>
      </c>
    </row>
    <row r="858" spans="1:8" ht="16" x14ac:dyDescent="0.2">
      <c r="A858" s="46" t="e">
        <f>_xlfn.XLOOKUP(B858,'[1]MDB-Auszug 09.01.2026'!D:D,'[1]MDB-Auszug 09.01.2026'!E:E)</f>
        <v>#N/A</v>
      </c>
      <c r="B858" s="47" t="s">
        <v>1677</v>
      </c>
      <c r="C858" s="47" t="e">
        <f>_xlfn.XLOOKUP(B858,'[1]MDB-Auszug 09.01.2026'!D:D,'[1]MDB-Auszug 09.01.2026'!A:A)</f>
        <v>#N/A</v>
      </c>
      <c r="D858" s="45">
        <v>0</v>
      </c>
      <c r="E858" s="45">
        <v>0</v>
      </c>
      <c r="F858" s="45">
        <v>0</v>
      </c>
      <c r="G858" s="45">
        <v>0</v>
      </c>
      <c r="H858" s="60">
        <v>0</v>
      </c>
    </row>
    <row r="859" spans="1:8" ht="16" x14ac:dyDescent="0.2">
      <c r="A859" s="46" t="e">
        <f>_xlfn.XLOOKUP(B859,'[1]MDB-Auszug 09.01.2026'!D:D,'[1]MDB-Auszug 09.01.2026'!E:E)</f>
        <v>#N/A</v>
      </c>
      <c r="B859" s="47" t="s">
        <v>1678</v>
      </c>
      <c r="C859" s="47" t="e">
        <f>_xlfn.XLOOKUP(B859,'[1]MDB-Auszug 09.01.2026'!D:D,'[1]MDB-Auszug 09.01.2026'!A:A)</f>
        <v>#N/A</v>
      </c>
      <c r="D859" s="45">
        <v>0</v>
      </c>
      <c r="E859" s="45">
        <v>0</v>
      </c>
      <c r="F859" s="45">
        <v>0</v>
      </c>
      <c r="G859" s="45">
        <v>0</v>
      </c>
      <c r="H859" s="60">
        <v>0</v>
      </c>
    </row>
    <row r="860" spans="1:8" ht="16" x14ac:dyDescent="0.2">
      <c r="A860" s="46" t="e">
        <f>_xlfn.XLOOKUP(B860,'[1]MDB-Auszug 09.01.2026'!D:D,'[1]MDB-Auszug 09.01.2026'!E:E)</f>
        <v>#N/A</v>
      </c>
      <c r="B860" s="47" t="s">
        <v>1679</v>
      </c>
      <c r="C860" s="47" t="e">
        <f>_xlfn.XLOOKUP(B860,'[1]MDB-Auszug 09.01.2026'!D:D,'[1]MDB-Auszug 09.01.2026'!A:A)</f>
        <v>#N/A</v>
      </c>
      <c r="D860" s="45">
        <v>0</v>
      </c>
      <c r="E860" s="45">
        <v>0</v>
      </c>
      <c r="F860" s="45">
        <v>0</v>
      </c>
      <c r="G860" s="45">
        <v>0</v>
      </c>
      <c r="H860" s="60">
        <v>0</v>
      </c>
    </row>
    <row r="861" spans="1:8" ht="16" x14ac:dyDescent="0.2">
      <c r="A861" s="46" t="e">
        <f>_xlfn.XLOOKUP(B861,'[1]MDB-Auszug 09.01.2026'!D:D,'[1]MDB-Auszug 09.01.2026'!E:E)</f>
        <v>#N/A</v>
      </c>
      <c r="B861" s="47" t="s">
        <v>1680</v>
      </c>
      <c r="C861" s="47" t="e">
        <f>_xlfn.XLOOKUP(B861,'[1]MDB-Auszug 09.01.2026'!D:D,'[1]MDB-Auszug 09.01.2026'!A:A)</f>
        <v>#N/A</v>
      </c>
      <c r="D861" s="45">
        <v>0</v>
      </c>
      <c r="E861" s="45">
        <v>0</v>
      </c>
      <c r="F861" s="45">
        <v>0</v>
      </c>
      <c r="G861" s="45">
        <v>0</v>
      </c>
      <c r="H861" s="60">
        <v>0</v>
      </c>
    </row>
    <row r="862" spans="1:8" ht="16" x14ac:dyDescent="0.2">
      <c r="A862" s="46" t="e">
        <f>_xlfn.XLOOKUP(B862,'[1]MDB-Auszug 09.01.2026'!D:D,'[1]MDB-Auszug 09.01.2026'!E:E)</f>
        <v>#N/A</v>
      </c>
      <c r="B862" s="47" t="s">
        <v>1681</v>
      </c>
      <c r="C862" s="47" t="e">
        <f>_xlfn.XLOOKUP(B862,'[1]MDB-Auszug 09.01.2026'!D:D,'[1]MDB-Auszug 09.01.2026'!A:A)</f>
        <v>#N/A</v>
      </c>
      <c r="D862" s="45">
        <v>0</v>
      </c>
      <c r="E862" s="45">
        <v>0</v>
      </c>
      <c r="F862" s="45">
        <v>0</v>
      </c>
      <c r="G862" s="45">
        <v>0</v>
      </c>
      <c r="H862" s="60">
        <v>0</v>
      </c>
    </row>
    <row r="863" spans="1:8" ht="16" x14ac:dyDescent="0.2">
      <c r="A863" s="46" t="e">
        <f>_xlfn.XLOOKUP(B863,'[1]MDB-Auszug 09.01.2026'!D:D,'[1]MDB-Auszug 09.01.2026'!E:E)</f>
        <v>#N/A</v>
      </c>
      <c r="B863" s="47" t="s">
        <v>1682</v>
      </c>
      <c r="C863" s="47" t="e">
        <f>_xlfn.XLOOKUP(B863,'[1]MDB-Auszug 09.01.2026'!D:D,'[1]MDB-Auszug 09.01.2026'!A:A)</f>
        <v>#N/A</v>
      </c>
      <c r="D863" s="45">
        <v>0</v>
      </c>
      <c r="E863" s="45">
        <v>0</v>
      </c>
      <c r="F863" s="45">
        <v>0</v>
      </c>
      <c r="G863" s="45">
        <v>0</v>
      </c>
      <c r="H863" s="60">
        <v>0</v>
      </c>
    </row>
    <row r="864" spans="1:8" ht="16" x14ac:dyDescent="0.2">
      <c r="A864" s="46" t="e">
        <f>_xlfn.XLOOKUP(B864,'[1]MDB-Auszug 09.01.2026'!D:D,'[1]MDB-Auszug 09.01.2026'!E:E)</f>
        <v>#N/A</v>
      </c>
      <c r="B864" s="47" t="s">
        <v>1683</v>
      </c>
      <c r="C864" s="47" t="e">
        <f>_xlfn.XLOOKUP(B864,'[1]MDB-Auszug 09.01.2026'!D:D,'[1]MDB-Auszug 09.01.2026'!A:A)</f>
        <v>#N/A</v>
      </c>
      <c r="D864" s="45">
        <v>0</v>
      </c>
      <c r="E864" s="45">
        <v>0</v>
      </c>
      <c r="F864" s="45">
        <v>0</v>
      </c>
      <c r="G864" s="45">
        <v>0</v>
      </c>
      <c r="H864" s="60">
        <v>0</v>
      </c>
    </row>
    <row r="865" spans="1:8" ht="16" x14ac:dyDescent="0.2">
      <c r="A865" s="46" t="e">
        <f>_xlfn.XLOOKUP(B865,'[1]MDB-Auszug 09.01.2026'!D:D,'[1]MDB-Auszug 09.01.2026'!E:E)</f>
        <v>#N/A</v>
      </c>
      <c r="B865" s="47" t="s">
        <v>1684</v>
      </c>
      <c r="C865" s="47" t="e">
        <f>_xlfn.XLOOKUP(B865,'[1]MDB-Auszug 09.01.2026'!D:D,'[1]MDB-Auszug 09.01.2026'!A:A)</f>
        <v>#N/A</v>
      </c>
      <c r="D865" s="45">
        <v>0</v>
      </c>
      <c r="E865" s="45">
        <v>0</v>
      </c>
      <c r="F865" s="45">
        <v>0</v>
      </c>
      <c r="G865" s="45">
        <v>0</v>
      </c>
      <c r="H865" s="60">
        <v>0</v>
      </c>
    </row>
    <row r="866" spans="1:8" ht="16" x14ac:dyDescent="0.2">
      <c r="A866" s="46" t="e">
        <f>_xlfn.XLOOKUP(B866,'[1]MDB-Auszug 09.01.2026'!D:D,'[1]MDB-Auszug 09.01.2026'!E:E)</f>
        <v>#N/A</v>
      </c>
      <c r="B866" s="47" t="s">
        <v>1685</v>
      </c>
      <c r="C866" s="47" t="e">
        <f>_xlfn.XLOOKUP(B866,'[1]MDB-Auszug 09.01.2026'!D:D,'[1]MDB-Auszug 09.01.2026'!A:A)</f>
        <v>#N/A</v>
      </c>
      <c r="D866" s="45">
        <v>0</v>
      </c>
      <c r="E866" s="45">
        <v>0</v>
      </c>
      <c r="F866" s="45">
        <v>0</v>
      </c>
      <c r="G866" s="45">
        <v>0</v>
      </c>
      <c r="H866" s="60">
        <v>0</v>
      </c>
    </row>
    <row r="867" spans="1:8" ht="16" x14ac:dyDescent="0.2">
      <c r="A867" s="46" t="e">
        <f>_xlfn.XLOOKUP(B867,'[1]MDB-Auszug 09.01.2026'!D:D,'[1]MDB-Auszug 09.01.2026'!E:E)</f>
        <v>#N/A</v>
      </c>
      <c r="B867" s="47" t="s">
        <v>1686</v>
      </c>
      <c r="C867" s="47" t="e">
        <f>_xlfn.XLOOKUP(B867,'[1]MDB-Auszug 09.01.2026'!D:D,'[1]MDB-Auszug 09.01.2026'!A:A)</f>
        <v>#N/A</v>
      </c>
      <c r="D867" s="45">
        <v>0</v>
      </c>
      <c r="E867" s="45">
        <v>0</v>
      </c>
      <c r="F867" s="45">
        <v>0</v>
      </c>
      <c r="G867" s="45">
        <v>0</v>
      </c>
      <c r="H867" s="60">
        <v>0</v>
      </c>
    </row>
    <row r="868" spans="1:8" ht="16" x14ac:dyDescent="0.2">
      <c r="A868" s="46" t="e">
        <f>_xlfn.XLOOKUP(B868,'[1]MDB-Auszug 09.01.2026'!D:D,'[1]MDB-Auszug 09.01.2026'!E:E)</f>
        <v>#N/A</v>
      </c>
      <c r="B868" s="47" t="s">
        <v>1687</v>
      </c>
      <c r="C868" s="47" t="e">
        <f>_xlfn.XLOOKUP(B868,'[1]MDB-Auszug 09.01.2026'!D:D,'[1]MDB-Auszug 09.01.2026'!A:A)</f>
        <v>#N/A</v>
      </c>
      <c r="D868" s="45">
        <v>0</v>
      </c>
      <c r="E868" s="45">
        <v>0</v>
      </c>
      <c r="F868" s="45">
        <v>0</v>
      </c>
      <c r="G868" s="45">
        <v>0</v>
      </c>
      <c r="H868" s="60">
        <v>0</v>
      </c>
    </row>
    <row r="869" spans="1:8" ht="16" x14ac:dyDescent="0.2">
      <c r="A869" s="46" t="e">
        <f>_xlfn.XLOOKUP(B869,'[1]MDB-Auszug 09.01.2026'!D:D,'[1]MDB-Auszug 09.01.2026'!E:E)</f>
        <v>#N/A</v>
      </c>
      <c r="B869" s="47" t="s">
        <v>1688</v>
      </c>
      <c r="C869" s="47" t="e">
        <f>_xlfn.XLOOKUP(B869,'[1]MDB-Auszug 09.01.2026'!D:D,'[1]MDB-Auszug 09.01.2026'!A:A)</f>
        <v>#N/A</v>
      </c>
      <c r="D869" s="45">
        <v>0</v>
      </c>
      <c r="E869" s="45">
        <v>0</v>
      </c>
      <c r="F869" s="45">
        <v>0</v>
      </c>
      <c r="G869" s="45">
        <v>0</v>
      </c>
      <c r="H869" s="60">
        <v>0</v>
      </c>
    </row>
    <row r="870" spans="1:8" ht="16" x14ac:dyDescent="0.2">
      <c r="A870" s="46" t="e">
        <f>_xlfn.XLOOKUP(B870,'[1]MDB-Auszug 09.01.2026'!D:D,'[1]MDB-Auszug 09.01.2026'!E:E)</f>
        <v>#N/A</v>
      </c>
      <c r="B870" s="47" t="s">
        <v>1689</v>
      </c>
      <c r="C870" s="47" t="e">
        <f>_xlfn.XLOOKUP(B870,'[1]MDB-Auszug 09.01.2026'!D:D,'[1]MDB-Auszug 09.01.2026'!A:A)</f>
        <v>#N/A</v>
      </c>
      <c r="D870" s="45">
        <v>0</v>
      </c>
      <c r="E870" s="45">
        <v>0</v>
      </c>
      <c r="F870" s="45">
        <v>0</v>
      </c>
      <c r="G870" s="45">
        <v>0</v>
      </c>
      <c r="H870" s="60">
        <v>0</v>
      </c>
    </row>
    <row r="871" spans="1:8" ht="16" x14ac:dyDescent="0.2">
      <c r="A871" s="46" t="e">
        <f>_xlfn.XLOOKUP(B871,'[1]MDB-Auszug 09.01.2026'!D:D,'[1]MDB-Auszug 09.01.2026'!E:E)</f>
        <v>#N/A</v>
      </c>
      <c r="B871" s="47" t="s">
        <v>1690</v>
      </c>
      <c r="C871" s="47" t="e">
        <f>_xlfn.XLOOKUP(B871,'[1]MDB-Auszug 09.01.2026'!D:D,'[1]MDB-Auszug 09.01.2026'!A:A)</f>
        <v>#N/A</v>
      </c>
      <c r="D871" s="45">
        <v>0</v>
      </c>
      <c r="E871" s="45">
        <v>0</v>
      </c>
      <c r="F871" s="45">
        <v>0</v>
      </c>
      <c r="G871" s="45">
        <v>0</v>
      </c>
      <c r="H871" s="60">
        <v>0</v>
      </c>
    </row>
    <row r="872" spans="1:8" ht="16" x14ac:dyDescent="0.2">
      <c r="A872" s="46" t="e">
        <f>_xlfn.XLOOKUP(B872,'[1]MDB-Auszug 09.01.2026'!D:D,'[1]MDB-Auszug 09.01.2026'!E:E)</f>
        <v>#N/A</v>
      </c>
      <c r="B872" s="47" t="s">
        <v>1691</v>
      </c>
      <c r="C872" s="47" t="e">
        <f>_xlfn.XLOOKUP(B872,'[1]MDB-Auszug 09.01.2026'!D:D,'[1]MDB-Auszug 09.01.2026'!A:A)</f>
        <v>#N/A</v>
      </c>
      <c r="D872" s="45">
        <v>0</v>
      </c>
      <c r="E872" s="45">
        <v>0</v>
      </c>
      <c r="F872" s="45">
        <v>0</v>
      </c>
      <c r="G872" s="45">
        <v>0</v>
      </c>
      <c r="H872" s="60">
        <v>0</v>
      </c>
    </row>
    <row r="873" spans="1:8" ht="16" x14ac:dyDescent="0.2">
      <c r="A873" s="46">
        <v>501221</v>
      </c>
      <c r="B873" s="47" t="s">
        <v>1692</v>
      </c>
      <c r="C873" s="47" t="s">
        <v>1693</v>
      </c>
      <c r="D873" s="45">
        <v>0</v>
      </c>
      <c r="E873" s="45">
        <v>0</v>
      </c>
      <c r="F873" s="45">
        <v>0</v>
      </c>
      <c r="G873" s="45">
        <v>0</v>
      </c>
      <c r="H873" s="60">
        <v>0</v>
      </c>
    </row>
    <row r="874" spans="1:8" ht="16" x14ac:dyDescent="0.2">
      <c r="A874" s="46">
        <v>501207</v>
      </c>
      <c r="B874" s="47" t="s">
        <v>1694</v>
      </c>
      <c r="C874" s="47" t="s">
        <v>1695</v>
      </c>
      <c r="D874" s="45">
        <v>0</v>
      </c>
      <c r="E874" s="45">
        <v>0</v>
      </c>
      <c r="F874" s="45">
        <v>0</v>
      </c>
      <c r="G874" s="45">
        <v>0</v>
      </c>
      <c r="H874" s="60">
        <v>0</v>
      </c>
    </row>
    <row r="875" spans="1:8" ht="16" x14ac:dyDescent="0.2">
      <c r="A875" s="46">
        <v>501222</v>
      </c>
      <c r="B875" s="47" t="s">
        <v>1696</v>
      </c>
      <c r="C875" s="47" t="s">
        <v>1697</v>
      </c>
      <c r="D875" s="45">
        <v>0</v>
      </c>
      <c r="E875" s="45">
        <v>0</v>
      </c>
      <c r="F875" s="45">
        <v>0</v>
      </c>
      <c r="G875" s="45">
        <v>0</v>
      </c>
      <c r="H875" s="60">
        <v>0</v>
      </c>
    </row>
    <row r="876" spans="1:8" ht="16" x14ac:dyDescent="0.2">
      <c r="A876" s="46">
        <v>501238</v>
      </c>
      <c r="B876" s="47" t="s">
        <v>1698</v>
      </c>
      <c r="C876" s="47" t="s">
        <v>1699</v>
      </c>
      <c r="D876" s="45">
        <v>0</v>
      </c>
      <c r="E876" s="45">
        <v>0</v>
      </c>
      <c r="F876" s="45">
        <v>0</v>
      </c>
      <c r="G876" s="45">
        <v>0</v>
      </c>
      <c r="H876" s="60">
        <v>0</v>
      </c>
    </row>
    <row r="877" spans="1:8" ht="16" x14ac:dyDescent="0.2">
      <c r="A877" s="46">
        <v>501218</v>
      </c>
      <c r="B877" s="47" t="s">
        <v>1700</v>
      </c>
      <c r="C877" s="47" t="s">
        <v>1701</v>
      </c>
      <c r="D877" s="45">
        <v>0</v>
      </c>
      <c r="E877" s="45">
        <v>0</v>
      </c>
      <c r="F877" s="45">
        <v>0</v>
      </c>
      <c r="G877" s="45">
        <v>0</v>
      </c>
      <c r="H877" s="60">
        <v>0</v>
      </c>
    </row>
    <row r="878" spans="1:8" ht="16" x14ac:dyDescent="0.2">
      <c r="A878" s="46">
        <v>501233</v>
      </c>
      <c r="B878" s="47" t="s">
        <v>1702</v>
      </c>
      <c r="C878" s="47" t="s">
        <v>1703</v>
      </c>
      <c r="D878" s="45">
        <v>0</v>
      </c>
      <c r="E878" s="45">
        <v>0</v>
      </c>
      <c r="F878" s="45">
        <v>0</v>
      </c>
      <c r="G878" s="45">
        <v>0</v>
      </c>
      <c r="H878" s="60">
        <v>0</v>
      </c>
    </row>
    <row r="879" spans="1:8" ht="16" x14ac:dyDescent="0.2">
      <c r="A879" s="46">
        <v>501234</v>
      </c>
      <c r="B879" s="47" t="s">
        <v>1704</v>
      </c>
      <c r="C879" s="47" t="s">
        <v>1705</v>
      </c>
      <c r="D879" s="45">
        <v>0</v>
      </c>
      <c r="E879" s="45">
        <v>0</v>
      </c>
      <c r="F879" s="45">
        <v>0</v>
      </c>
      <c r="G879" s="45">
        <v>0</v>
      </c>
      <c r="H879" s="60">
        <v>0</v>
      </c>
    </row>
    <row r="880" spans="1:8" ht="16" x14ac:dyDescent="0.2">
      <c r="A880" s="46">
        <v>501162</v>
      </c>
      <c r="B880" s="47" t="s">
        <v>1706</v>
      </c>
      <c r="C880" s="47" t="s">
        <v>1707</v>
      </c>
      <c r="D880" s="45">
        <v>0</v>
      </c>
      <c r="E880" s="45">
        <v>0</v>
      </c>
      <c r="F880" s="45">
        <v>0</v>
      </c>
      <c r="G880" s="45">
        <v>0</v>
      </c>
      <c r="H880" s="60">
        <v>0</v>
      </c>
    </row>
    <row r="881" spans="1:8" ht="16" x14ac:dyDescent="0.2">
      <c r="A881" s="46">
        <v>501227</v>
      </c>
      <c r="B881" s="47" t="s">
        <v>1708</v>
      </c>
      <c r="C881" s="47" t="s">
        <v>1709</v>
      </c>
      <c r="D881" s="45">
        <v>0</v>
      </c>
      <c r="E881" s="45">
        <v>0</v>
      </c>
      <c r="F881" s="45">
        <v>0</v>
      </c>
      <c r="G881" s="45">
        <v>0</v>
      </c>
      <c r="H881" s="60">
        <v>0</v>
      </c>
    </row>
    <row r="882" spans="1:8" ht="16" x14ac:dyDescent="0.2">
      <c r="A882" s="46">
        <v>501225</v>
      </c>
      <c r="B882" s="47" t="s">
        <v>1710</v>
      </c>
      <c r="C882" s="47" t="s">
        <v>1711</v>
      </c>
      <c r="D882" s="45">
        <v>0</v>
      </c>
      <c r="E882" s="45">
        <v>0</v>
      </c>
      <c r="F882" s="45">
        <v>0</v>
      </c>
      <c r="G882" s="45">
        <v>0</v>
      </c>
      <c r="H882" s="60">
        <v>0</v>
      </c>
    </row>
    <row r="883" spans="1:8" ht="16" x14ac:dyDescent="0.2">
      <c r="A883" s="46">
        <v>502007</v>
      </c>
      <c r="B883" s="47" t="s">
        <v>1712</v>
      </c>
      <c r="C883" s="47" t="s">
        <v>1713</v>
      </c>
      <c r="D883" s="45">
        <v>0</v>
      </c>
      <c r="E883" s="45">
        <v>0</v>
      </c>
      <c r="F883" s="45">
        <v>0</v>
      </c>
      <c r="G883" s="45">
        <v>0</v>
      </c>
      <c r="H883" s="60">
        <v>0</v>
      </c>
    </row>
    <row r="884" spans="1:8" ht="16" x14ac:dyDescent="0.2">
      <c r="A884" s="46">
        <v>501226</v>
      </c>
      <c r="B884" s="47" t="s">
        <v>1714</v>
      </c>
      <c r="C884" s="47" t="s">
        <v>1715</v>
      </c>
      <c r="D884" s="45">
        <v>0</v>
      </c>
      <c r="E884" s="45">
        <v>0</v>
      </c>
      <c r="F884" s="45">
        <v>0</v>
      </c>
      <c r="G884" s="45">
        <v>0</v>
      </c>
      <c r="H884" s="60">
        <v>0</v>
      </c>
    </row>
    <row r="885" spans="1:8" ht="16" x14ac:dyDescent="0.2">
      <c r="A885" s="46">
        <v>501228</v>
      </c>
      <c r="B885" s="47" t="s">
        <v>1716</v>
      </c>
      <c r="C885" s="47" t="s">
        <v>1717</v>
      </c>
      <c r="D885" s="45">
        <v>0</v>
      </c>
      <c r="E885" s="45">
        <v>0</v>
      </c>
      <c r="F885" s="45">
        <v>0</v>
      </c>
      <c r="G885" s="45">
        <v>0</v>
      </c>
      <c r="H885" s="60">
        <v>0</v>
      </c>
    </row>
    <row r="886" spans="1:8" ht="16" x14ac:dyDescent="0.2">
      <c r="A886" s="46">
        <v>501239</v>
      </c>
      <c r="B886" s="47" t="s">
        <v>1718</v>
      </c>
      <c r="C886" s="47" t="s">
        <v>1719</v>
      </c>
      <c r="D886" s="45">
        <v>0</v>
      </c>
      <c r="E886" s="45">
        <v>0</v>
      </c>
      <c r="F886" s="45">
        <v>0</v>
      </c>
      <c r="G886" s="45">
        <v>0</v>
      </c>
      <c r="H886" s="60">
        <v>0</v>
      </c>
    </row>
    <row r="887" spans="1:8" ht="16" x14ac:dyDescent="0.2">
      <c r="A887" s="46">
        <v>501232</v>
      </c>
      <c r="B887" s="47" t="s">
        <v>1720</v>
      </c>
      <c r="C887" s="47" t="s">
        <v>1721</v>
      </c>
      <c r="D887" s="45">
        <v>0</v>
      </c>
      <c r="E887" s="45">
        <v>0</v>
      </c>
      <c r="F887" s="45">
        <v>0</v>
      </c>
      <c r="G887" s="45">
        <v>0</v>
      </c>
      <c r="H887" s="60">
        <v>0</v>
      </c>
    </row>
    <row r="888" spans="1:8" x14ac:dyDescent="0.2">
      <c r="A888" s="46">
        <v>501256</v>
      </c>
      <c r="B888" s="54" t="s">
        <v>1722</v>
      </c>
      <c r="C888" s="54" t="s">
        <v>1723</v>
      </c>
      <c r="D888" s="45">
        <v>0</v>
      </c>
      <c r="E888" s="45">
        <v>0</v>
      </c>
      <c r="F888" s="45">
        <v>0</v>
      </c>
      <c r="G888" s="45">
        <v>0</v>
      </c>
      <c r="H888" s="60">
        <v>0</v>
      </c>
    </row>
    <row r="889" spans="1:8" x14ac:dyDescent="0.2">
      <c r="A889" s="46">
        <v>501248</v>
      </c>
      <c r="B889" s="54" t="s">
        <v>1724</v>
      </c>
      <c r="C889" s="54" t="s">
        <v>1725</v>
      </c>
      <c r="D889" s="45">
        <v>0</v>
      </c>
      <c r="E889" s="45">
        <v>0</v>
      </c>
      <c r="F889" s="45">
        <v>0</v>
      </c>
      <c r="G889" s="45">
        <v>0</v>
      </c>
      <c r="H889" s="60">
        <v>0</v>
      </c>
    </row>
    <row r="890" spans="1:8" x14ac:dyDescent="0.2">
      <c r="A890" s="46">
        <v>501235</v>
      </c>
      <c r="B890" s="54" t="s">
        <v>1726</v>
      </c>
      <c r="C890" s="54" t="s">
        <v>1727</v>
      </c>
      <c r="D890" s="45">
        <v>0</v>
      </c>
      <c r="E890" s="45">
        <v>0</v>
      </c>
      <c r="F890" s="45">
        <v>0</v>
      </c>
      <c r="G890" s="45">
        <v>0</v>
      </c>
      <c r="H890" s="60">
        <v>0</v>
      </c>
    </row>
    <row r="891" spans="1:8" x14ac:dyDescent="0.2">
      <c r="A891" s="46">
        <v>501231</v>
      </c>
      <c r="B891" s="54" t="s">
        <v>1728</v>
      </c>
      <c r="C891" s="54" t="s">
        <v>1729</v>
      </c>
      <c r="D891" s="45">
        <v>0</v>
      </c>
      <c r="E891" s="45">
        <v>0</v>
      </c>
      <c r="F891" s="45">
        <v>0</v>
      </c>
      <c r="G891" s="45">
        <v>0</v>
      </c>
      <c r="H891" s="60">
        <v>0</v>
      </c>
    </row>
    <row r="892" spans="1:8" x14ac:dyDescent="0.2">
      <c r="A892" s="46">
        <v>501243</v>
      </c>
      <c r="B892" s="54" t="s">
        <v>1730</v>
      </c>
      <c r="C892" s="54" t="s">
        <v>1731</v>
      </c>
      <c r="D892" s="45">
        <v>0</v>
      </c>
      <c r="E892" s="45">
        <v>0</v>
      </c>
      <c r="F892" s="45">
        <v>0</v>
      </c>
      <c r="G892" s="45">
        <v>0</v>
      </c>
      <c r="H892" s="60">
        <v>0</v>
      </c>
    </row>
    <row r="893" spans="1:8" x14ac:dyDescent="0.2">
      <c r="A893" s="46">
        <v>501158</v>
      </c>
      <c r="B893" s="54" t="s">
        <v>1732</v>
      </c>
      <c r="C893" s="54" t="s">
        <v>1733</v>
      </c>
      <c r="D893" s="45">
        <v>0</v>
      </c>
      <c r="E893" s="45">
        <v>0</v>
      </c>
      <c r="F893" s="45">
        <v>0</v>
      </c>
      <c r="G893" s="45">
        <v>0</v>
      </c>
      <c r="H893" s="60">
        <v>0</v>
      </c>
    </row>
    <row r="894" spans="1:8" x14ac:dyDescent="0.2">
      <c r="A894" s="46">
        <v>502012</v>
      </c>
      <c r="B894" s="54" t="s">
        <v>1734</v>
      </c>
      <c r="C894" s="54" t="s">
        <v>1735</v>
      </c>
      <c r="D894" s="45">
        <v>0</v>
      </c>
      <c r="E894" s="45">
        <v>0</v>
      </c>
      <c r="F894" s="45">
        <v>0</v>
      </c>
      <c r="G894" s="45">
        <v>0</v>
      </c>
      <c r="H894" s="60">
        <v>0</v>
      </c>
    </row>
    <row r="895" spans="1:8" x14ac:dyDescent="0.2">
      <c r="A895" s="46">
        <v>502013</v>
      </c>
      <c r="B895" s="54" t="s">
        <v>1736</v>
      </c>
      <c r="C895" s="54" t="s">
        <v>1737</v>
      </c>
      <c r="D895" s="45">
        <v>0</v>
      </c>
      <c r="E895" s="45">
        <v>0</v>
      </c>
      <c r="F895" s="45">
        <v>0</v>
      </c>
      <c r="G895" s="45">
        <v>0</v>
      </c>
      <c r="H895" s="60">
        <v>0</v>
      </c>
    </row>
  </sheetData>
  <autoFilter ref="A1:H895" xr:uid="{9D7446D7-D1D4-46A3-8E82-643261AA556B}">
    <sortState xmlns:xlrd2="http://schemas.microsoft.com/office/spreadsheetml/2017/richdata2" ref="A2:H895">
      <sortCondition descending="1" ref="H1:H895"/>
    </sortState>
  </autoFilter>
  <conditionalFormatting sqref="B1:B895">
    <cfRule type="duplicateValues" dxfId="20" priority="22"/>
  </conditionalFormatting>
  <conditionalFormatting sqref="B2:B627">
    <cfRule type="duplicateValues" dxfId="19" priority="24"/>
  </conditionalFormatting>
  <conditionalFormatting sqref="B628:B644">
    <cfRule type="duplicateValues" dxfId="18" priority="19"/>
  </conditionalFormatting>
  <conditionalFormatting sqref="B645">
    <cfRule type="duplicateValues" dxfId="17" priority="20"/>
  </conditionalFormatting>
  <conditionalFormatting sqref="B646:B647">
    <cfRule type="duplicateValues" dxfId="16" priority="17"/>
  </conditionalFormatting>
  <conditionalFormatting sqref="B648:B651">
    <cfRule type="duplicateValues" dxfId="15" priority="18"/>
  </conditionalFormatting>
  <conditionalFormatting sqref="B652">
    <cfRule type="duplicateValues" dxfId="14" priority="14"/>
  </conditionalFormatting>
  <conditionalFormatting sqref="B653">
    <cfRule type="duplicateValues" dxfId="13" priority="16"/>
  </conditionalFormatting>
  <conditionalFormatting sqref="B654:B658">
    <cfRule type="duplicateValues" dxfId="12" priority="15"/>
  </conditionalFormatting>
  <conditionalFormatting sqref="B659:B674">
    <cfRule type="duplicateValues" dxfId="11" priority="13"/>
  </conditionalFormatting>
  <conditionalFormatting sqref="B675:B692">
    <cfRule type="duplicateValues" dxfId="10" priority="12"/>
  </conditionalFormatting>
  <conditionalFormatting sqref="B693:B694">
    <cfRule type="duplicateValues" dxfId="9" priority="11"/>
  </conditionalFormatting>
  <conditionalFormatting sqref="B694:B701">
    <cfRule type="duplicateValues" dxfId="8" priority="10"/>
  </conditionalFormatting>
  <conditionalFormatting sqref="B702:B729">
    <cfRule type="duplicateValues" dxfId="7" priority="9"/>
  </conditionalFormatting>
  <conditionalFormatting sqref="B730">
    <cfRule type="duplicateValues" dxfId="6" priority="8"/>
  </conditionalFormatting>
  <conditionalFormatting sqref="B731:B736">
    <cfRule type="duplicateValues" dxfId="5" priority="7"/>
  </conditionalFormatting>
  <conditionalFormatting sqref="B737:B741">
    <cfRule type="duplicateValues" dxfId="4" priority="6"/>
  </conditionalFormatting>
  <conditionalFormatting sqref="B742:B763">
    <cfRule type="duplicateValues" dxfId="3" priority="5"/>
  </conditionalFormatting>
  <conditionalFormatting sqref="B764:B768">
    <cfRule type="duplicateValues" dxfId="2" priority="4"/>
  </conditionalFormatting>
  <conditionalFormatting sqref="B769:B774">
    <cfRule type="duplicateValues" dxfId="1" priority="3"/>
  </conditionalFormatting>
  <conditionalFormatting sqref="B775:B887">
    <cfRule type="duplicateValues" dxfId="0" priority="2"/>
  </conditionalFormatting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6565-E600-B042-881C-BE311DFF5DF6}">
  <dimension ref="A1:I448"/>
  <sheetViews>
    <sheetView workbookViewId="0">
      <pane ySplit="4" topLeftCell="A7" activePane="bottomLeft" state="frozen"/>
      <selection pane="bottomLeft" activeCell="B2" sqref="B2"/>
    </sheetView>
  </sheetViews>
  <sheetFormatPr baseColWidth="10" defaultColWidth="11.5" defaultRowHeight="15" x14ac:dyDescent="0.2"/>
  <cols>
    <col min="1" max="1" width="111" customWidth="1"/>
    <col min="2" max="2" width="20" customWidth="1"/>
    <col min="3" max="3" width="70" customWidth="1"/>
    <col min="4" max="7" width="23.33203125" customWidth="1"/>
    <col min="8" max="8" width="70" customWidth="1"/>
    <col min="9" max="9" width="21.6640625" customWidth="1"/>
  </cols>
  <sheetData>
    <row r="1" spans="1:9" ht="21" x14ac:dyDescent="0.25">
      <c r="A1" s="76" t="s">
        <v>1738</v>
      </c>
    </row>
    <row r="2" spans="1:9" ht="16" x14ac:dyDescent="0.2">
      <c r="A2" s="77" t="s">
        <v>1739</v>
      </c>
    </row>
    <row r="3" spans="1:9" ht="16" x14ac:dyDescent="0.2">
      <c r="A3" s="77" t="s">
        <v>1740</v>
      </c>
    </row>
    <row r="4" spans="1:9" ht="16" x14ac:dyDescent="0.2">
      <c r="A4" s="77" t="s">
        <v>1741</v>
      </c>
    </row>
    <row r="6" spans="1:9" ht="32" x14ac:dyDescent="0.2">
      <c r="A6" s="80" t="s">
        <v>1742</v>
      </c>
      <c r="B6" s="80" t="s">
        <v>1743</v>
      </c>
      <c r="C6" s="80" t="s">
        <v>1744</v>
      </c>
      <c r="D6" s="80" t="s">
        <v>1745</v>
      </c>
      <c r="E6" s="80" t="s">
        <v>75</v>
      </c>
      <c r="F6" s="80" t="s">
        <v>1292</v>
      </c>
      <c r="G6" s="80" t="s">
        <v>1746</v>
      </c>
      <c r="H6" s="80" t="s">
        <v>1747</v>
      </c>
      <c r="I6" s="80" t="s">
        <v>1748</v>
      </c>
    </row>
    <row r="7" spans="1:9" ht="16" x14ac:dyDescent="0.2">
      <c r="A7" s="77" t="s">
        <v>1749</v>
      </c>
      <c r="B7" s="79">
        <v>21</v>
      </c>
      <c r="C7" s="78">
        <v>30858.263680000004</v>
      </c>
      <c r="D7" s="78">
        <v>219.01132999999999</v>
      </c>
      <c r="E7" s="78">
        <v>2575.09809</v>
      </c>
      <c r="F7" s="78">
        <v>5918.2662</v>
      </c>
      <c r="G7" s="78">
        <v>22145.888060000001</v>
      </c>
      <c r="H7" s="77" t="s">
        <v>1750</v>
      </c>
      <c r="I7" s="77" t="s">
        <v>1751</v>
      </c>
    </row>
    <row r="8" spans="1:9" ht="32" x14ac:dyDescent="0.2">
      <c r="A8" s="77" t="s">
        <v>1752</v>
      </c>
      <c r="B8" s="79">
        <v>38</v>
      </c>
      <c r="C8" s="78">
        <v>22962.980909999998</v>
      </c>
      <c r="D8" s="78">
        <v>2231.4341100000006</v>
      </c>
      <c r="E8" s="78">
        <v>6507.5936800000009</v>
      </c>
      <c r="F8" s="78">
        <v>10904.30171</v>
      </c>
      <c r="G8" s="78">
        <v>3319.6514100000004</v>
      </c>
      <c r="H8" s="77" t="s">
        <v>1753</v>
      </c>
      <c r="I8" s="77" t="s">
        <v>1751</v>
      </c>
    </row>
    <row r="9" spans="1:9" ht="32" x14ac:dyDescent="0.2">
      <c r="A9" s="77" t="s">
        <v>1754</v>
      </c>
      <c r="B9" s="79">
        <v>17</v>
      </c>
      <c r="C9" s="78">
        <v>13145.574000000001</v>
      </c>
      <c r="D9" s="78">
        <v>3081.9016800000009</v>
      </c>
      <c r="E9" s="78">
        <v>3877.4216999999999</v>
      </c>
      <c r="F9" s="78">
        <v>5185.23981</v>
      </c>
      <c r="G9" s="78">
        <v>1001.0108099999999</v>
      </c>
      <c r="H9" s="77" t="s">
        <v>1755</v>
      </c>
      <c r="I9" s="77" t="s">
        <v>1751</v>
      </c>
    </row>
    <row r="10" spans="1:9" ht="32" x14ac:dyDescent="0.2">
      <c r="A10" s="77" t="s">
        <v>1756</v>
      </c>
      <c r="B10" s="79">
        <v>22</v>
      </c>
      <c r="C10" s="78">
        <v>15046.516190000002</v>
      </c>
      <c r="D10" s="78">
        <v>5883.10617</v>
      </c>
      <c r="E10" s="78">
        <v>6498.0577499999999</v>
      </c>
      <c r="F10" s="78">
        <v>61.645499999999998</v>
      </c>
      <c r="G10" s="78">
        <v>2603.7067699999998</v>
      </c>
      <c r="H10" s="77" t="s">
        <v>1757</v>
      </c>
      <c r="I10" s="77" t="s">
        <v>1751</v>
      </c>
    </row>
    <row r="11" spans="1:9" ht="48" x14ac:dyDescent="0.2">
      <c r="A11" s="77" t="s">
        <v>1758</v>
      </c>
      <c r="B11" s="79">
        <v>15</v>
      </c>
      <c r="C11" s="78">
        <v>11408.120830000002</v>
      </c>
      <c r="D11" s="78">
        <v>2113.2582200000002</v>
      </c>
      <c r="E11" s="78">
        <v>3058.3608800000002</v>
      </c>
      <c r="F11" s="78">
        <v>5598.0627599999998</v>
      </c>
      <c r="G11" s="78">
        <v>638.43896999999981</v>
      </c>
      <c r="H11" s="77" t="s">
        <v>1759</v>
      </c>
      <c r="I11" s="77" t="s">
        <v>1751</v>
      </c>
    </row>
    <row r="12" spans="1:9" ht="32" x14ac:dyDescent="0.2">
      <c r="A12" s="77" t="s">
        <v>1760</v>
      </c>
      <c r="B12" s="79">
        <v>10</v>
      </c>
      <c r="C12" s="78">
        <v>4472.2891999999993</v>
      </c>
      <c r="D12" s="78">
        <v>978.51351000000011</v>
      </c>
      <c r="E12" s="78">
        <v>2288.1019200000001</v>
      </c>
      <c r="F12" s="78">
        <v>719.69221000000005</v>
      </c>
      <c r="G12" s="78">
        <v>485.98156</v>
      </c>
      <c r="H12" s="77" t="s">
        <v>1761</v>
      </c>
      <c r="I12" s="77" t="s">
        <v>1751</v>
      </c>
    </row>
    <row r="13" spans="1:9" ht="48" x14ac:dyDescent="0.2">
      <c r="A13" s="77" t="s">
        <v>1762</v>
      </c>
      <c r="B13" s="79">
        <v>27</v>
      </c>
      <c r="C13" s="78">
        <v>10983.081030000001</v>
      </c>
      <c r="D13" s="78">
        <v>4446.3479199999992</v>
      </c>
      <c r="E13" s="78">
        <v>5966.9167699999998</v>
      </c>
      <c r="F13" s="78">
        <v>402.87950000000001</v>
      </c>
      <c r="G13" s="78">
        <v>166.93684000000002</v>
      </c>
      <c r="H13" s="77" t="s">
        <v>1763</v>
      </c>
      <c r="I13" s="77" t="s">
        <v>1751</v>
      </c>
    </row>
    <row r="14" spans="1:9" ht="32" x14ac:dyDescent="0.2">
      <c r="A14" s="77" t="s">
        <v>1764</v>
      </c>
      <c r="B14" s="79">
        <v>42</v>
      </c>
      <c r="C14" s="78">
        <v>13592.115370000003</v>
      </c>
      <c r="D14" s="78">
        <v>7751.1309800000017</v>
      </c>
      <c r="E14" s="78">
        <v>4436.8141700000006</v>
      </c>
      <c r="F14" s="78">
        <v>860.70141999999998</v>
      </c>
      <c r="G14" s="78">
        <v>543.4688000000001</v>
      </c>
      <c r="H14" s="77" t="s">
        <v>1765</v>
      </c>
      <c r="I14" s="77" t="s">
        <v>1751</v>
      </c>
    </row>
    <row r="15" spans="1:9" ht="32" x14ac:dyDescent="0.2">
      <c r="A15" s="77" t="s">
        <v>1766</v>
      </c>
      <c r="B15" s="79">
        <v>17</v>
      </c>
      <c r="C15" s="78">
        <v>4338.9543400000002</v>
      </c>
      <c r="D15" s="78">
        <v>1101.31025</v>
      </c>
      <c r="E15" s="78">
        <v>2493.4824800000001</v>
      </c>
      <c r="F15" s="78">
        <v>0</v>
      </c>
      <c r="G15" s="78">
        <v>744.16161</v>
      </c>
      <c r="H15" s="77" t="s">
        <v>1767</v>
      </c>
      <c r="I15" s="77" t="s">
        <v>1768</v>
      </c>
    </row>
    <row r="16" spans="1:9" ht="32" x14ac:dyDescent="0.2">
      <c r="A16" s="77" t="s">
        <v>1769</v>
      </c>
      <c r="B16" s="79">
        <v>10</v>
      </c>
      <c r="C16" s="78">
        <v>3757.2028900000005</v>
      </c>
      <c r="D16" s="78">
        <v>33.19135</v>
      </c>
      <c r="E16" s="78">
        <v>903.91913999999997</v>
      </c>
      <c r="F16" s="78">
        <v>1878.54835</v>
      </c>
      <c r="G16" s="78">
        <v>941.54405000000008</v>
      </c>
      <c r="H16" s="77" t="s">
        <v>1770</v>
      </c>
      <c r="I16" s="77" t="s">
        <v>1751</v>
      </c>
    </row>
    <row r="17" spans="1:9" ht="32" x14ac:dyDescent="0.2">
      <c r="A17" s="77" t="s">
        <v>1771</v>
      </c>
      <c r="B17" s="79">
        <v>23</v>
      </c>
      <c r="C17" s="78">
        <v>6717.56077</v>
      </c>
      <c r="D17" s="78">
        <v>2899.7689699999996</v>
      </c>
      <c r="E17" s="78">
        <v>2849.0841399999999</v>
      </c>
      <c r="F17" s="78">
        <v>624.04005000000006</v>
      </c>
      <c r="G17" s="78">
        <v>344.66760999999997</v>
      </c>
      <c r="H17" s="77" t="s">
        <v>1772</v>
      </c>
      <c r="I17" s="77" t="s">
        <v>1751</v>
      </c>
    </row>
    <row r="18" spans="1:9" ht="32" x14ac:dyDescent="0.2">
      <c r="A18" s="77" t="s">
        <v>1773</v>
      </c>
      <c r="B18" s="79">
        <v>14</v>
      </c>
      <c r="C18" s="78">
        <v>4633.8108099999999</v>
      </c>
      <c r="D18" s="78">
        <v>1133.4628699999998</v>
      </c>
      <c r="E18" s="78">
        <v>2610.7943299999997</v>
      </c>
      <c r="F18" s="78">
        <v>833.67737</v>
      </c>
      <c r="G18" s="78">
        <v>55.876239999999996</v>
      </c>
      <c r="H18" s="77" t="s">
        <v>1774</v>
      </c>
      <c r="I18" s="77" t="s">
        <v>1751</v>
      </c>
    </row>
    <row r="19" spans="1:9" ht="32" x14ac:dyDescent="0.2">
      <c r="A19" s="77" t="s">
        <v>1775</v>
      </c>
      <c r="B19" s="79">
        <v>77</v>
      </c>
      <c r="C19" s="78">
        <v>93975.830599999987</v>
      </c>
      <c r="D19" s="78">
        <v>5183.6780600000002</v>
      </c>
      <c r="E19" s="78">
        <v>83328.705919999979</v>
      </c>
      <c r="F19" s="78">
        <v>442.32938999999999</v>
      </c>
      <c r="G19" s="78">
        <v>5021.1172299999998</v>
      </c>
      <c r="H19" s="77" t="s">
        <v>1776</v>
      </c>
      <c r="I19" s="77" t="s">
        <v>1751</v>
      </c>
    </row>
    <row r="20" spans="1:9" ht="32" x14ac:dyDescent="0.2">
      <c r="A20" s="77" t="s">
        <v>1777</v>
      </c>
      <c r="B20" s="79">
        <v>47</v>
      </c>
      <c r="C20" s="78">
        <v>2119.1348400000011</v>
      </c>
      <c r="D20" s="78">
        <v>700.62667000000022</v>
      </c>
      <c r="E20" s="78">
        <v>964.53561000000002</v>
      </c>
      <c r="F20" s="78">
        <v>0</v>
      </c>
      <c r="G20" s="78">
        <v>453.97255999999999</v>
      </c>
      <c r="H20" s="77" t="s">
        <v>1778</v>
      </c>
      <c r="I20" s="77" t="s">
        <v>1768</v>
      </c>
    </row>
    <row r="23" spans="1:9" ht="16" x14ac:dyDescent="0.2">
      <c r="A23" s="81" t="s">
        <v>1742</v>
      </c>
      <c r="B23" s="81" t="s">
        <v>1779</v>
      </c>
      <c r="C23" s="81" t="s">
        <v>1780</v>
      </c>
      <c r="D23" s="81" t="s">
        <v>1781</v>
      </c>
      <c r="E23" s="81" t="s">
        <v>1782</v>
      </c>
      <c r="F23" s="81" t="s">
        <v>1783</v>
      </c>
    </row>
    <row r="24" spans="1:9" ht="16" x14ac:dyDescent="0.2">
      <c r="A24" s="77" t="s">
        <v>1784</v>
      </c>
      <c r="B24" s="77" t="s">
        <v>1745</v>
      </c>
      <c r="C24" s="77" t="s">
        <v>1785</v>
      </c>
      <c r="D24" s="77" t="s">
        <v>1786</v>
      </c>
      <c r="E24" s="78">
        <v>219.01132999999999</v>
      </c>
      <c r="F24" s="79">
        <v>1</v>
      </c>
    </row>
    <row r="25" spans="1:9" ht="16" x14ac:dyDescent="0.2">
      <c r="A25" s="77" t="s">
        <v>1784</v>
      </c>
      <c r="B25" s="77" t="s">
        <v>75</v>
      </c>
      <c r="C25" s="77" t="s">
        <v>1787</v>
      </c>
      <c r="D25" s="77" t="s">
        <v>1786</v>
      </c>
      <c r="E25" s="78">
        <v>2575.09809</v>
      </c>
      <c r="F25" s="79">
        <v>4</v>
      </c>
    </row>
    <row r="26" spans="1:9" ht="16" x14ac:dyDescent="0.2">
      <c r="A26" s="77" t="s">
        <v>1784</v>
      </c>
      <c r="B26" s="77" t="s">
        <v>1292</v>
      </c>
      <c r="C26" s="77" t="s">
        <v>1788</v>
      </c>
      <c r="D26" s="77" t="s">
        <v>1786</v>
      </c>
      <c r="E26" s="78">
        <v>5918.2662</v>
      </c>
      <c r="F26" s="79">
        <v>1</v>
      </c>
    </row>
    <row r="27" spans="1:9" ht="16" x14ac:dyDescent="0.2">
      <c r="A27" s="77" t="s">
        <v>1789</v>
      </c>
      <c r="B27" s="77" t="s">
        <v>1745</v>
      </c>
      <c r="C27" s="77" t="s">
        <v>1790</v>
      </c>
      <c r="D27" s="77" t="s">
        <v>1786</v>
      </c>
      <c r="E27" s="78">
        <v>2231.4341100000006</v>
      </c>
      <c r="F27" s="79">
        <v>6</v>
      </c>
    </row>
    <row r="28" spans="1:9" ht="16" x14ac:dyDescent="0.2">
      <c r="A28" s="77" t="s">
        <v>1789</v>
      </c>
      <c r="B28" s="77" t="s">
        <v>75</v>
      </c>
      <c r="C28" s="77" t="s">
        <v>1791</v>
      </c>
      <c r="D28" s="77" t="s">
        <v>1786</v>
      </c>
      <c r="E28" s="78">
        <v>6507.5936800000009</v>
      </c>
      <c r="F28" s="79">
        <v>7</v>
      </c>
    </row>
    <row r="29" spans="1:9" ht="16" x14ac:dyDescent="0.2">
      <c r="A29" s="77" t="s">
        <v>1789</v>
      </c>
      <c r="B29" s="77" t="s">
        <v>1292</v>
      </c>
      <c r="C29" s="77" t="s">
        <v>1792</v>
      </c>
      <c r="D29" s="77" t="s">
        <v>1786</v>
      </c>
      <c r="E29" s="78">
        <v>10904.30171</v>
      </c>
      <c r="F29" s="79">
        <v>1</v>
      </c>
    </row>
    <row r="30" spans="1:9" ht="16" x14ac:dyDescent="0.2">
      <c r="A30" s="77" t="s">
        <v>1793</v>
      </c>
      <c r="B30" s="77" t="s">
        <v>1745</v>
      </c>
      <c r="C30" s="77" t="s">
        <v>1794</v>
      </c>
      <c r="D30" s="77" t="s">
        <v>1786</v>
      </c>
      <c r="E30" s="78">
        <v>3081.9016800000009</v>
      </c>
      <c r="F30" s="79">
        <v>7</v>
      </c>
    </row>
    <row r="31" spans="1:9" ht="16" x14ac:dyDescent="0.2">
      <c r="A31" s="77" t="s">
        <v>1793</v>
      </c>
      <c r="B31" s="77" t="s">
        <v>75</v>
      </c>
      <c r="C31" s="77" t="s">
        <v>1795</v>
      </c>
      <c r="D31" s="77" t="s">
        <v>1786</v>
      </c>
      <c r="E31" s="78">
        <v>3877.4216999999999</v>
      </c>
      <c r="F31" s="79">
        <v>3</v>
      </c>
    </row>
    <row r="32" spans="1:9" ht="16" x14ac:dyDescent="0.2">
      <c r="A32" s="77" t="s">
        <v>1793</v>
      </c>
      <c r="B32" s="77" t="s">
        <v>1292</v>
      </c>
      <c r="C32" s="77" t="s">
        <v>1796</v>
      </c>
      <c r="D32" s="77" t="s">
        <v>1786</v>
      </c>
      <c r="E32" s="78">
        <v>5185.23981</v>
      </c>
      <c r="F32" s="79">
        <v>1</v>
      </c>
    </row>
    <row r="33" spans="1:6" ht="16" x14ac:dyDescent="0.2">
      <c r="A33" s="77" t="s">
        <v>1756</v>
      </c>
      <c r="B33" s="77" t="s">
        <v>1745</v>
      </c>
      <c r="C33" s="77" t="s">
        <v>1797</v>
      </c>
      <c r="D33" s="77" t="s">
        <v>1786</v>
      </c>
      <c r="E33" s="78">
        <v>5883.10617</v>
      </c>
      <c r="F33" s="79">
        <v>5</v>
      </c>
    </row>
    <row r="34" spans="1:6" ht="16" x14ac:dyDescent="0.2">
      <c r="A34" s="77" t="s">
        <v>1756</v>
      </c>
      <c r="B34" s="77" t="s">
        <v>75</v>
      </c>
      <c r="C34" s="77" t="s">
        <v>1798</v>
      </c>
      <c r="D34" s="77" t="s">
        <v>1786</v>
      </c>
      <c r="E34" s="78">
        <v>6498.0577499999999</v>
      </c>
      <c r="F34" s="79">
        <v>5</v>
      </c>
    </row>
    <row r="35" spans="1:6" ht="16" x14ac:dyDescent="0.2">
      <c r="A35" s="77" t="s">
        <v>1756</v>
      </c>
      <c r="B35" s="77" t="s">
        <v>1292</v>
      </c>
      <c r="C35" s="77" t="s">
        <v>1799</v>
      </c>
      <c r="D35" s="77" t="s">
        <v>1786</v>
      </c>
      <c r="E35" s="78">
        <v>61.645499999999998</v>
      </c>
      <c r="F35" s="79">
        <v>1</v>
      </c>
    </row>
    <row r="36" spans="1:6" ht="16" x14ac:dyDescent="0.2">
      <c r="A36" s="77" t="s">
        <v>1758</v>
      </c>
      <c r="B36" s="77" t="s">
        <v>1745</v>
      </c>
      <c r="C36" s="77" t="s">
        <v>1800</v>
      </c>
      <c r="D36" s="77" t="s">
        <v>1786</v>
      </c>
      <c r="E36" s="78">
        <v>2113.2582200000002</v>
      </c>
      <c r="F36" s="79">
        <v>3</v>
      </c>
    </row>
    <row r="37" spans="1:6" ht="16" x14ac:dyDescent="0.2">
      <c r="A37" s="77" t="s">
        <v>1758</v>
      </c>
      <c r="B37" s="77" t="s">
        <v>75</v>
      </c>
      <c r="C37" s="77" t="s">
        <v>1801</v>
      </c>
      <c r="D37" s="77" t="s">
        <v>1786</v>
      </c>
      <c r="E37" s="78">
        <v>3058.3608800000002</v>
      </c>
      <c r="F37" s="79">
        <v>4</v>
      </c>
    </row>
    <row r="38" spans="1:6" ht="16" x14ac:dyDescent="0.2">
      <c r="A38" s="77" t="s">
        <v>1758</v>
      </c>
      <c r="B38" s="77" t="s">
        <v>1292</v>
      </c>
      <c r="C38" s="77" t="s">
        <v>1802</v>
      </c>
      <c r="D38" s="77" t="s">
        <v>1786</v>
      </c>
      <c r="E38" s="78">
        <v>5598.0627599999998</v>
      </c>
      <c r="F38" s="79">
        <v>1</v>
      </c>
    </row>
    <row r="39" spans="1:6" ht="16" x14ac:dyDescent="0.2">
      <c r="A39" s="77" t="s">
        <v>1760</v>
      </c>
      <c r="B39" s="77" t="s">
        <v>1745</v>
      </c>
      <c r="C39" s="77" t="s">
        <v>1803</v>
      </c>
      <c r="D39" s="77" t="s">
        <v>1786</v>
      </c>
      <c r="E39" s="78">
        <v>978.51351000000011</v>
      </c>
      <c r="F39" s="79">
        <v>4</v>
      </c>
    </row>
    <row r="40" spans="1:6" ht="16" x14ac:dyDescent="0.2">
      <c r="A40" s="77" t="s">
        <v>1760</v>
      </c>
      <c r="B40" s="77" t="s">
        <v>75</v>
      </c>
      <c r="C40" s="77" t="s">
        <v>1804</v>
      </c>
      <c r="D40" s="77" t="s">
        <v>1786</v>
      </c>
      <c r="E40" s="78">
        <v>2288.1019200000001</v>
      </c>
      <c r="F40" s="79">
        <v>2</v>
      </c>
    </row>
    <row r="41" spans="1:6" ht="16" x14ac:dyDescent="0.2">
      <c r="A41" s="77" t="s">
        <v>1760</v>
      </c>
      <c r="B41" s="77" t="s">
        <v>1292</v>
      </c>
      <c r="C41" s="77" t="s">
        <v>1805</v>
      </c>
      <c r="D41" s="77" t="s">
        <v>1786</v>
      </c>
      <c r="E41" s="78">
        <v>719.69221000000005</v>
      </c>
      <c r="F41" s="79">
        <v>1</v>
      </c>
    </row>
    <row r="42" spans="1:6" ht="16" x14ac:dyDescent="0.2">
      <c r="A42" s="77" t="s">
        <v>1762</v>
      </c>
      <c r="B42" s="77" t="s">
        <v>1745</v>
      </c>
      <c r="C42" s="77" t="s">
        <v>1806</v>
      </c>
      <c r="D42" s="77" t="s">
        <v>1786</v>
      </c>
      <c r="E42" s="78">
        <v>4446.3479199999992</v>
      </c>
      <c r="F42" s="79">
        <v>13</v>
      </c>
    </row>
    <row r="43" spans="1:6" ht="16" x14ac:dyDescent="0.2">
      <c r="A43" s="77" t="s">
        <v>1762</v>
      </c>
      <c r="B43" s="77" t="s">
        <v>75</v>
      </c>
      <c r="C43" s="77" t="s">
        <v>1807</v>
      </c>
      <c r="D43" s="77" t="s">
        <v>1786</v>
      </c>
      <c r="E43" s="78">
        <v>5966.9167699999998</v>
      </c>
      <c r="F43" s="79">
        <v>6</v>
      </c>
    </row>
    <row r="44" spans="1:6" ht="16" x14ac:dyDescent="0.2">
      <c r="A44" s="77" t="s">
        <v>1762</v>
      </c>
      <c r="B44" s="77" t="s">
        <v>1292</v>
      </c>
      <c r="C44" s="77" t="s">
        <v>1808</v>
      </c>
      <c r="D44" s="77" t="s">
        <v>1786</v>
      </c>
      <c r="E44" s="78">
        <v>402.87950000000001</v>
      </c>
      <c r="F44" s="79">
        <v>2</v>
      </c>
    </row>
    <row r="45" spans="1:6" ht="16" x14ac:dyDescent="0.2">
      <c r="A45" s="77" t="s">
        <v>1764</v>
      </c>
      <c r="B45" s="77" t="s">
        <v>1745</v>
      </c>
      <c r="C45" s="77" t="s">
        <v>1809</v>
      </c>
      <c r="D45" s="77" t="s">
        <v>1786</v>
      </c>
      <c r="E45" s="78">
        <v>7751.1309800000017</v>
      </c>
      <c r="F45" s="79">
        <v>26</v>
      </c>
    </row>
    <row r="46" spans="1:6" ht="16" x14ac:dyDescent="0.2">
      <c r="A46" s="77" t="s">
        <v>1764</v>
      </c>
      <c r="B46" s="77" t="s">
        <v>75</v>
      </c>
      <c r="C46" s="77" t="s">
        <v>1810</v>
      </c>
      <c r="D46" s="77" t="s">
        <v>1786</v>
      </c>
      <c r="E46" s="78">
        <v>4436.8141700000006</v>
      </c>
      <c r="F46" s="79">
        <v>6</v>
      </c>
    </row>
    <row r="47" spans="1:6" ht="16" x14ac:dyDescent="0.2">
      <c r="A47" s="77" t="s">
        <v>1764</v>
      </c>
      <c r="B47" s="77" t="s">
        <v>1292</v>
      </c>
      <c r="C47" s="77" t="s">
        <v>1811</v>
      </c>
      <c r="D47" s="77" t="s">
        <v>1786</v>
      </c>
      <c r="E47" s="78">
        <v>860.70141999999998</v>
      </c>
      <c r="F47" s="79">
        <v>1</v>
      </c>
    </row>
    <row r="48" spans="1:6" ht="16" x14ac:dyDescent="0.2">
      <c r="A48" s="77" t="s">
        <v>1766</v>
      </c>
      <c r="B48" s="77" t="s">
        <v>1745</v>
      </c>
      <c r="C48" s="77" t="s">
        <v>1812</v>
      </c>
      <c r="D48" s="77" t="s">
        <v>1786</v>
      </c>
      <c r="E48" s="78">
        <v>1101.31025</v>
      </c>
      <c r="F48" s="79">
        <v>6</v>
      </c>
    </row>
    <row r="49" spans="1:6" ht="16" x14ac:dyDescent="0.2">
      <c r="A49" s="77" t="s">
        <v>1766</v>
      </c>
      <c r="B49" s="77" t="s">
        <v>75</v>
      </c>
      <c r="C49" s="77" t="s">
        <v>1813</v>
      </c>
      <c r="D49" s="77" t="s">
        <v>1786</v>
      </c>
      <c r="E49" s="78">
        <v>2493.4824800000001</v>
      </c>
      <c r="F49" s="79">
        <v>5</v>
      </c>
    </row>
    <row r="50" spans="1:6" ht="32" x14ac:dyDescent="0.2">
      <c r="A50" s="77" t="s">
        <v>1766</v>
      </c>
      <c r="B50" s="77" t="s">
        <v>1292</v>
      </c>
      <c r="C50" s="77" t="s">
        <v>1814</v>
      </c>
      <c r="D50" s="77" t="s">
        <v>1815</v>
      </c>
      <c r="E50" s="78">
        <v>0</v>
      </c>
      <c r="F50" s="79">
        <v>0</v>
      </c>
    </row>
    <row r="51" spans="1:6" ht="16" x14ac:dyDescent="0.2">
      <c r="A51" s="77" t="s">
        <v>1769</v>
      </c>
      <c r="B51" s="77" t="s">
        <v>1745</v>
      </c>
      <c r="C51" s="77" t="s">
        <v>1816</v>
      </c>
      <c r="D51" s="77" t="s">
        <v>1786</v>
      </c>
      <c r="E51" s="78">
        <v>33.19135</v>
      </c>
      <c r="F51" s="79">
        <v>1</v>
      </c>
    </row>
    <row r="52" spans="1:6" ht="16" x14ac:dyDescent="0.2">
      <c r="A52" s="77" t="s">
        <v>1769</v>
      </c>
      <c r="B52" s="77" t="s">
        <v>75</v>
      </c>
      <c r="C52" s="77" t="s">
        <v>1817</v>
      </c>
      <c r="D52" s="77" t="s">
        <v>1786</v>
      </c>
      <c r="E52" s="78">
        <v>903.91913999999997</v>
      </c>
      <c r="F52" s="79">
        <v>3</v>
      </c>
    </row>
    <row r="53" spans="1:6" ht="16" x14ac:dyDescent="0.2">
      <c r="A53" s="77" t="s">
        <v>1769</v>
      </c>
      <c r="B53" s="77" t="s">
        <v>1292</v>
      </c>
      <c r="C53" s="77" t="s">
        <v>1818</v>
      </c>
      <c r="D53" s="77" t="s">
        <v>1786</v>
      </c>
      <c r="E53" s="78">
        <v>1878.54835</v>
      </c>
      <c r="F53" s="79">
        <v>2</v>
      </c>
    </row>
    <row r="54" spans="1:6" ht="16" x14ac:dyDescent="0.2">
      <c r="A54" s="77" t="s">
        <v>1771</v>
      </c>
      <c r="B54" s="77" t="s">
        <v>1745</v>
      </c>
      <c r="C54" s="77" t="s">
        <v>1819</v>
      </c>
      <c r="D54" s="77" t="s">
        <v>1786</v>
      </c>
      <c r="E54" s="78">
        <v>2899.7689699999996</v>
      </c>
      <c r="F54" s="79">
        <v>9</v>
      </c>
    </row>
    <row r="55" spans="1:6" ht="16" x14ac:dyDescent="0.2">
      <c r="A55" s="77" t="s">
        <v>1771</v>
      </c>
      <c r="B55" s="77" t="s">
        <v>75</v>
      </c>
      <c r="C55" s="77" t="s">
        <v>1820</v>
      </c>
      <c r="D55" s="77" t="s">
        <v>1786</v>
      </c>
      <c r="E55" s="78">
        <v>2849.0841399999999</v>
      </c>
      <c r="F55" s="79">
        <v>5</v>
      </c>
    </row>
    <row r="56" spans="1:6" ht="16" x14ac:dyDescent="0.2">
      <c r="A56" s="77" t="s">
        <v>1771</v>
      </c>
      <c r="B56" s="77" t="s">
        <v>1292</v>
      </c>
      <c r="C56" s="77" t="s">
        <v>1821</v>
      </c>
      <c r="D56" s="77" t="s">
        <v>1786</v>
      </c>
      <c r="E56" s="78">
        <v>624.04005000000006</v>
      </c>
      <c r="F56" s="79">
        <v>2</v>
      </c>
    </row>
    <row r="57" spans="1:6" ht="16" x14ac:dyDescent="0.2">
      <c r="A57" s="77" t="s">
        <v>1773</v>
      </c>
      <c r="B57" s="77" t="s">
        <v>1745</v>
      </c>
      <c r="C57" s="77" t="s">
        <v>1822</v>
      </c>
      <c r="D57" s="77" t="s">
        <v>1786</v>
      </c>
      <c r="E57" s="78">
        <v>1133.4628699999998</v>
      </c>
      <c r="F57" s="79">
        <v>4</v>
      </c>
    </row>
    <row r="58" spans="1:6" ht="16" x14ac:dyDescent="0.2">
      <c r="A58" s="77" t="s">
        <v>1773</v>
      </c>
      <c r="B58" s="77" t="s">
        <v>75</v>
      </c>
      <c r="C58" s="77" t="s">
        <v>1823</v>
      </c>
      <c r="D58" s="77" t="s">
        <v>1786</v>
      </c>
      <c r="E58" s="78">
        <v>2610.7943299999997</v>
      </c>
      <c r="F58" s="79">
        <v>5</v>
      </c>
    </row>
    <row r="59" spans="1:6" ht="16" x14ac:dyDescent="0.2">
      <c r="A59" s="77" t="s">
        <v>1773</v>
      </c>
      <c r="B59" s="77" t="s">
        <v>1292</v>
      </c>
      <c r="C59" s="77" t="s">
        <v>1824</v>
      </c>
      <c r="D59" s="77" t="s">
        <v>1786</v>
      </c>
      <c r="E59" s="78">
        <v>833.67737</v>
      </c>
      <c r="F59" s="79">
        <v>1</v>
      </c>
    </row>
    <row r="60" spans="1:6" ht="16" x14ac:dyDescent="0.2">
      <c r="A60" s="77" t="s">
        <v>1775</v>
      </c>
      <c r="B60" s="77" t="s">
        <v>1745</v>
      </c>
      <c r="C60" s="77" t="s">
        <v>1825</v>
      </c>
      <c r="D60" s="77" t="s">
        <v>1786</v>
      </c>
      <c r="E60" s="78">
        <v>5183.6780600000002</v>
      </c>
      <c r="F60" s="79">
        <v>20</v>
      </c>
    </row>
    <row r="61" spans="1:6" ht="16" x14ac:dyDescent="0.2">
      <c r="A61" s="77" t="s">
        <v>1775</v>
      </c>
      <c r="B61" s="77" t="s">
        <v>75</v>
      </c>
      <c r="C61" s="77" t="s">
        <v>1826</v>
      </c>
      <c r="D61" s="77" t="s">
        <v>1786</v>
      </c>
      <c r="E61" s="78">
        <v>83328.705919999979</v>
      </c>
      <c r="F61" s="79">
        <v>14</v>
      </c>
    </row>
    <row r="62" spans="1:6" ht="16" x14ac:dyDescent="0.2">
      <c r="A62" s="77" t="s">
        <v>1775</v>
      </c>
      <c r="B62" s="77" t="s">
        <v>1292</v>
      </c>
      <c r="C62" s="77" t="s">
        <v>1827</v>
      </c>
      <c r="D62" s="77" t="s">
        <v>1786</v>
      </c>
      <c r="E62" s="78">
        <v>442.32938999999999</v>
      </c>
      <c r="F62" s="79">
        <v>2</v>
      </c>
    </row>
    <row r="63" spans="1:6" ht="16" x14ac:dyDescent="0.2">
      <c r="A63" s="77" t="s">
        <v>1777</v>
      </c>
      <c r="B63" s="77" t="s">
        <v>1745</v>
      </c>
      <c r="C63" s="77" t="s">
        <v>1828</v>
      </c>
      <c r="D63" s="77" t="s">
        <v>1786</v>
      </c>
      <c r="E63" s="78">
        <v>700.62667000000022</v>
      </c>
      <c r="F63" s="79">
        <v>11</v>
      </c>
    </row>
    <row r="64" spans="1:6" ht="16" x14ac:dyDescent="0.2">
      <c r="A64" s="77" t="s">
        <v>1777</v>
      </c>
      <c r="B64" s="77" t="s">
        <v>75</v>
      </c>
      <c r="C64" s="77" t="s">
        <v>1829</v>
      </c>
      <c r="D64" s="77" t="s">
        <v>1786</v>
      </c>
      <c r="E64" s="78">
        <v>964.53561000000002</v>
      </c>
      <c r="F64" s="79">
        <v>4</v>
      </c>
    </row>
    <row r="65" spans="1:7" ht="32" x14ac:dyDescent="0.2">
      <c r="A65" s="77" t="s">
        <v>1777</v>
      </c>
      <c r="B65" s="77" t="s">
        <v>1292</v>
      </c>
      <c r="C65" s="77" t="s">
        <v>1830</v>
      </c>
      <c r="D65" s="77" t="s">
        <v>1815</v>
      </c>
      <c r="E65" s="78">
        <v>0</v>
      </c>
      <c r="F65" s="79">
        <v>0</v>
      </c>
    </row>
    <row r="68" spans="1:7" ht="16" x14ac:dyDescent="0.2">
      <c r="A68" s="82" t="s">
        <v>71</v>
      </c>
      <c r="B68" s="82" t="s">
        <v>72</v>
      </c>
      <c r="C68" s="82" t="s">
        <v>73</v>
      </c>
      <c r="D68" s="82" t="s">
        <v>1744</v>
      </c>
      <c r="E68" s="82" t="s">
        <v>1831</v>
      </c>
      <c r="F68" s="82" t="s">
        <v>1832</v>
      </c>
      <c r="G68" s="82" t="s">
        <v>1780</v>
      </c>
    </row>
    <row r="69" spans="1:7" ht="32" x14ac:dyDescent="0.2">
      <c r="A69" s="79">
        <v>500838</v>
      </c>
      <c r="B69" s="77" t="s">
        <v>76</v>
      </c>
      <c r="C69" s="77" t="s">
        <v>77</v>
      </c>
      <c r="D69" s="78">
        <v>13664.056269999999</v>
      </c>
      <c r="E69" s="77" t="s">
        <v>1784</v>
      </c>
      <c r="F69" s="77" t="s">
        <v>1833</v>
      </c>
      <c r="G69" s="77" t="s">
        <v>1834</v>
      </c>
    </row>
    <row r="70" spans="1:7" ht="32" x14ac:dyDescent="0.2">
      <c r="A70" s="79">
        <v>500174</v>
      </c>
      <c r="B70" s="77" t="s">
        <v>80</v>
      </c>
      <c r="C70" s="77" t="s">
        <v>81</v>
      </c>
      <c r="D70" s="78">
        <v>6348.7568700000002</v>
      </c>
      <c r="E70" s="77" t="s">
        <v>1784</v>
      </c>
      <c r="F70" s="77" t="s">
        <v>1833</v>
      </c>
      <c r="G70" s="77" t="s">
        <v>1834</v>
      </c>
    </row>
    <row r="71" spans="1:7" ht="32" x14ac:dyDescent="0.2">
      <c r="A71" s="79">
        <v>501182</v>
      </c>
      <c r="B71" s="77" t="s">
        <v>82</v>
      </c>
      <c r="C71" s="77" t="s">
        <v>83</v>
      </c>
      <c r="D71" s="78">
        <v>5918.2662</v>
      </c>
      <c r="E71" s="77" t="s">
        <v>1784</v>
      </c>
      <c r="F71" s="77" t="s">
        <v>1292</v>
      </c>
      <c r="G71" s="77" t="s">
        <v>1788</v>
      </c>
    </row>
    <row r="72" spans="1:7" ht="32" x14ac:dyDescent="0.2">
      <c r="A72" s="79">
        <v>500300</v>
      </c>
      <c r="B72" s="77" t="s">
        <v>102</v>
      </c>
      <c r="C72" s="77" t="s">
        <v>103</v>
      </c>
      <c r="D72" s="78">
        <v>2426.7429400000001</v>
      </c>
      <c r="E72" s="77" t="s">
        <v>1784</v>
      </c>
      <c r="F72" s="77" t="s">
        <v>75</v>
      </c>
      <c r="G72" s="77" t="s">
        <v>1787</v>
      </c>
    </row>
    <row r="73" spans="1:7" ht="32" x14ac:dyDescent="0.2">
      <c r="A73" s="79">
        <v>500629</v>
      </c>
      <c r="B73" s="77" t="s">
        <v>183</v>
      </c>
      <c r="C73" s="77" t="s">
        <v>184</v>
      </c>
      <c r="D73" s="78">
        <v>656.69046000000003</v>
      </c>
      <c r="E73" s="77" t="s">
        <v>1784</v>
      </c>
      <c r="F73" s="77" t="s">
        <v>1833</v>
      </c>
      <c r="G73" s="77" t="s">
        <v>1834</v>
      </c>
    </row>
    <row r="74" spans="1:7" ht="32" x14ac:dyDescent="0.2">
      <c r="A74" s="79">
        <v>500628</v>
      </c>
      <c r="B74" s="77" t="s">
        <v>187</v>
      </c>
      <c r="C74" s="77" t="s">
        <v>188</v>
      </c>
      <c r="D74" s="78">
        <v>650.75693000000001</v>
      </c>
      <c r="E74" s="77" t="s">
        <v>1784</v>
      </c>
      <c r="F74" s="77" t="s">
        <v>1833</v>
      </c>
      <c r="G74" s="77" t="s">
        <v>1834</v>
      </c>
    </row>
    <row r="75" spans="1:7" ht="32" x14ac:dyDescent="0.2">
      <c r="A75" s="79">
        <v>500115</v>
      </c>
      <c r="B75" s="77" t="s">
        <v>267</v>
      </c>
      <c r="C75" s="77" t="s">
        <v>268</v>
      </c>
      <c r="D75" s="78">
        <v>327</v>
      </c>
      <c r="E75" s="77" t="s">
        <v>1784</v>
      </c>
      <c r="F75" s="77" t="s">
        <v>1833</v>
      </c>
      <c r="G75" s="77" t="s">
        <v>1834</v>
      </c>
    </row>
    <row r="76" spans="1:7" ht="16" x14ac:dyDescent="0.2">
      <c r="A76" s="79">
        <v>500512</v>
      </c>
      <c r="B76" s="77" t="s">
        <v>309</v>
      </c>
      <c r="C76" s="77" t="s">
        <v>310</v>
      </c>
      <c r="D76" s="78">
        <v>219.01132999999999</v>
      </c>
      <c r="E76" s="77" t="s">
        <v>1784</v>
      </c>
      <c r="F76" s="77" t="s">
        <v>1745</v>
      </c>
      <c r="G76" s="77" t="s">
        <v>1785</v>
      </c>
    </row>
    <row r="77" spans="1:7" ht="32" x14ac:dyDescent="0.2">
      <c r="A77" s="79">
        <v>500058</v>
      </c>
      <c r="B77" s="77" t="s">
        <v>368</v>
      </c>
      <c r="C77" s="77" t="s">
        <v>369</v>
      </c>
      <c r="D77" s="78">
        <v>143.00102000000001</v>
      </c>
      <c r="E77" s="77" t="s">
        <v>1784</v>
      </c>
      <c r="F77" s="77" t="s">
        <v>1833</v>
      </c>
      <c r="G77" s="77" t="s">
        <v>1834</v>
      </c>
    </row>
    <row r="78" spans="1:7" ht="32" x14ac:dyDescent="0.2">
      <c r="A78" s="79">
        <v>501206</v>
      </c>
      <c r="B78" s="77" t="s">
        <v>376</v>
      </c>
      <c r="C78" s="77" t="s">
        <v>377</v>
      </c>
      <c r="D78" s="78">
        <v>137.36744999999999</v>
      </c>
      <c r="E78" s="77" t="s">
        <v>1784</v>
      </c>
      <c r="F78" s="77" t="s">
        <v>75</v>
      </c>
      <c r="G78" s="77" t="s">
        <v>1787</v>
      </c>
    </row>
    <row r="79" spans="1:7" ht="32" x14ac:dyDescent="0.2">
      <c r="A79" s="79">
        <v>500152</v>
      </c>
      <c r="B79" s="77" t="s">
        <v>396</v>
      </c>
      <c r="C79" s="77" t="s">
        <v>397</v>
      </c>
      <c r="D79" s="78">
        <v>111.71821</v>
      </c>
      <c r="E79" s="77" t="s">
        <v>1784</v>
      </c>
      <c r="F79" s="77" t="s">
        <v>1833</v>
      </c>
      <c r="G79" s="77" t="s">
        <v>1834</v>
      </c>
    </row>
    <row r="80" spans="1:7" ht="32" x14ac:dyDescent="0.2">
      <c r="A80" s="79">
        <v>500960</v>
      </c>
      <c r="B80" s="77" t="s">
        <v>440</v>
      </c>
      <c r="C80" s="77" t="s">
        <v>441</v>
      </c>
      <c r="D80" s="78">
        <v>78.248350000000002</v>
      </c>
      <c r="E80" s="77" t="s">
        <v>1784</v>
      </c>
      <c r="F80" s="77" t="s">
        <v>1833</v>
      </c>
      <c r="G80" s="77" t="s">
        <v>1834</v>
      </c>
    </row>
    <row r="81" spans="1:7" ht="32" x14ac:dyDescent="0.2">
      <c r="A81" s="79">
        <v>500970</v>
      </c>
      <c r="B81" s="77" t="s">
        <v>516</v>
      </c>
      <c r="C81" s="77" t="s">
        <v>517</v>
      </c>
      <c r="D81" s="78">
        <v>35.797199999999997</v>
      </c>
      <c r="E81" s="77" t="s">
        <v>1784</v>
      </c>
      <c r="F81" s="77" t="s">
        <v>1833</v>
      </c>
      <c r="G81" s="77" t="s">
        <v>1834</v>
      </c>
    </row>
    <row r="82" spans="1:7" ht="32" x14ac:dyDescent="0.2">
      <c r="A82" s="79">
        <v>500965</v>
      </c>
      <c r="B82" s="77" t="s">
        <v>522</v>
      </c>
      <c r="C82" s="77" t="s">
        <v>523</v>
      </c>
      <c r="D82" s="78">
        <v>33.886749999999999</v>
      </c>
      <c r="E82" s="77" t="s">
        <v>1784</v>
      </c>
      <c r="F82" s="77" t="s">
        <v>1833</v>
      </c>
      <c r="G82" s="77" t="s">
        <v>1834</v>
      </c>
    </row>
    <row r="83" spans="1:7" ht="32" x14ac:dyDescent="0.2">
      <c r="A83" s="79">
        <v>500967</v>
      </c>
      <c r="B83" s="77" t="s">
        <v>532</v>
      </c>
      <c r="C83" s="77" t="s">
        <v>533</v>
      </c>
      <c r="D83" s="78">
        <v>30.017199999999999</v>
      </c>
      <c r="E83" s="77" t="s">
        <v>1784</v>
      </c>
      <c r="F83" s="77" t="s">
        <v>1833</v>
      </c>
      <c r="G83" s="77" t="s">
        <v>1834</v>
      </c>
    </row>
    <row r="84" spans="1:7" ht="32" x14ac:dyDescent="0.2">
      <c r="A84" s="79">
        <v>500969</v>
      </c>
      <c r="B84" s="77" t="s">
        <v>548</v>
      </c>
      <c r="C84" s="77" t="s">
        <v>549</v>
      </c>
      <c r="D84" s="78">
        <v>23.545349999999999</v>
      </c>
      <c r="E84" s="77" t="s">
        <v>1784</v>
      </c>
      <c r="F84" s="77" t="s">
        <v>1833</v>
      </c>
      <c r="G84" s="77" t="s">
        <v>1834</v>
      </c>
    </row>
    <row r="85" spans="1:7" ht="32" x14ac:dyDescent="0.2">
      <c r="A85" s="79">
        <v>500968</v>
      </c>
      <c r="B85" s="77" t="s">
        <v>554</v>
      </c>
      <c r="C85" s="77" t="s">
        <v>555</v>
      </c>
      <c r="D85" s="78">
        <v>22.741900000000001</v>
      </c>
      <c r="E85" s="77" t="s">
        <v>1784</v>
      </c>
      <c r="F85" s="77" t="s">
        <v>1833</v>
      </c>
      <c r="G85" s="77" t="s">
        <v>1834</v>
      </c>
    </row>
    <row r="86" spans="1:7" ht="32" x14ac:dyDescent="0.2">
      <c r="A86" s="79">
        <v>500966</v>
      </c>
      <c r="B86" s="77" t="s">
        <v>576</v>
      </c>
      <c r="C86" s="77" t="s">
        <v>577</v>
      </c>
      <c r="D86" s="78">
        <v>18.672550000000001</v>
      </c>
      <c r="E86" s="77" t="s">
        <v>1784</v>
      </c>
      <c r="F86" s="77" t="s">
        <v>1833</v>
      </c>
      <c r="G86" s="77" t="s">
        <v>1834</v>
      </c>
    </row>
    <row r="87" spans="1:7" ht="32" x14ac:dyDescent="0.2">
      <c r="A87" s="79">
        <v>500847</v>
      </c>
      <c r="B87" s="77" t="s">
        <v>625</v>
      </c>
      <c r="C87" s="77" t="s">
        <v>626</v>
      </c>
      <c r="D87" s="78">
        <v>7.9924999999999997</v>
      </c>
      <c r="E87" s="77" t="s">
        <v>1784</v>
      </c>
      <c r="F87" s="77" t="s">
        <v>75</v>
      </c>
      <c r="G87" s="77" t="s">
        <v>1787</v>
      </c>
    </row>
    <row r="88" spans="1:7" ht="32" x14ac:dyDescent="0.2">
      <c r="A88" s="79">
        <v>500869</v>
      </c>
      <c r="B88" s="77" t="s">
        <v>698</v>
      </c>
      <c r="C88" s="77" t="s">
        <v>699</v>
      </c>
      <c r="D88" s="78">
        <v>2.9952000000000001</v>
      </c>
      <c r="E88" s="77" t="s">
        <v>1784</v>
      </c>
      <c r="F88" s="77" t="s">
        <v>75</v>
      </c>
      <c r="G88" s="77" t="s">
        <v>1787</v>
      </c>
    </row>
    <row r="89" spans="1:7" ht="32" x14ac:dyDescent="0.2">
      <c r="A89" s="79">
        <v>500720</v>
      </c>
      <c r="B89" s="77" t="s">
        <v>761</v>
      </c>
      <c r="C89" s="77" t="s">
        <v>762</v>
      </c>
      <c r="D89" s="78">
        <v>0.999</v>
      </c>
      <c r="E89" s="77" t="s">
        <v>1784</v>
      </c>
      <c r="F89" s="77" t="s">
        <v>1833</v>
      </c>
      <c r="G89" s="77" t="s">
        <v>1834</v>
      </c>
    </row>
    <row r="90" spans="1:7" ht="16" x14ac:dyDescent="0.2">
      <c r="A90" s="79">
        <v>501176</v>
      </c>
      <c r="B90" s="77" t="s">
        <v>108</v>
      </c>
      <c r="C90" s="77" t="s">
        <v>109</v>
      </c>
      <c r="D90" s="78">
        <v>1782.8614500000001</v>
      </c>
      <c r="E90" s="77" t="s">
        <v>1769</v>
      </c>
      <c r="F90" s="77" t="s">
        <v>1292</v>
      </c>
      <c r="G90" s="77" t="s">
        <v>1818</v>
      </c>
    </row>
    <row r="91" spans="1:7" ht="16" x14ac:dyDescent="0.2">
      <c r="A91" s="79">
        <v>501175</v>
      </c>
      <c r="B91" s="77" t="s">
        <v>157</v>
      </c>
      <c r="C91" s="77" t="s">
        <v>158</v>
      </c>
      <c r="D91" s="78">
        <v>859.08608000000004</v>
      </c>
      <c r="E91" s="77" t="s">
        <v>1769</v>
      </c>
      <c r="F91" s="77" t="s">
        <v>75</v>
      </c>
      <c r="G91" s="77" t="s">
        <v>1817</v>
      </c>
    </row>
    <row r="92" spans="1:7" ht="32" x14ac:dyDescent="0.2">
      <c r="A92" s="79">
        <v>500153</v>
      </c>
      <c r="B92" s="77" t="s">
        <v>219</v>
      </c>
      <c r="C92" s="77" t="s">
        <v>220</v>
      </c>
      <c r="D92" s="78">
        <v>501.94171</v>
      </c>
      <c r="E92" s="77" t="s">
        <v>1769</v>
      </c>
      <c r="F92" s="77" t="s">
        <v>1833</v>
      </c>
      <c r="G92" s="77" t="s">
        <v>1835</v>
      </c>
    </row>
    <row r="93" spans="1:7" ht="32" x14ac:dyDescent="0.2">
      <c r="A93" s="79">
        <v>500842</v>
      </c>
      <c r="B93" s="77" t="s">
        <v>281</v>
      </c>
      <c r="C93" s="77" t="s">
        <v>282</v>
      </c>
      <c r="D93" s="78">
        <v>305.38094999999998</v>
      </c>
      <c r="E93" s="77" t="s">
        <v>1769</v>
      </c>
      <c r="F93" s="77" t="s">
        <v>1833</v>
      </c>
      <c r="G93" s="77" t="s">
        <v>1835</v>
      </c>
    </row>
    <row r="94" spans="1:7" ht="32" x14ac:dyDescent="0.2">
      <c r="A94" s="79">
        <v>500749</v>
      </c>
      <c r="B94" s="77" t="s">
        <v>382</v>
      </c>
      <c r="C94" s="77" t="s">
        <v>383</v>
      </c>
      <c r="D94" s="78">
        <v>132.09738999999999</v>
      </c>
      <c r="E94" s="77" t="s">
        <v>1769</v>
      </c>
      <c r="F94" s="77" t="s">
        <v>1833</v>
      </c>
      <c r="G94" s="77" t="s">
        <v>1835</v>
      </c>
    </row>
    <row r="95" spans="1:7" ht="16" x14ac:dyDescent="0.2">
      <c r="A95" s="79">
        <v>500634</v>
      </c>
      <c r="B95" s="77" t="s">
        <v>405</v>
      </c>
      <c r="C95" s="77" t="s">
        <v>406</v>
      </c>
      <c r="D95" s="78">
        <v>95.686899999999994</v>
      </c>
      <c r="E95" s="77" t="s">
        <v>1769</v>
      </c>
      <c r="F95" s="77" t="s">
        <v>1292</v>
      </c>
      <c r="G95" s="77" t="s">
        <v>1818</v>
      </c>
    </row>
    <row r="96" spans="1:7" ht="16" x14ac:dyDescent="0.2">
      <c r="A96" s="79">
        <v>500092</v>
      </c>
      <c r="B96" s="77" t="s">
        <v>496</v>
      </c>
      <c r="C96" s="77" t="s">
        <v>497</v>
      </c>
      <c r="D96" s="78">
        <v>42.321060000000003</v>
      </c>
      <c r="E96" s="77" t="s">
        <v>1769</v>
      </c>
      <c r="F96" s="77" t="s">
        <v>75</v>
      </c>
      <c r="G96" s="77" t="s">
        <v>1817</v>
      </c>
    </row>
    <row r="97" spans="1:7" ht="16" x14ac:dyDescent="0.2">
      <c r="A97" s="79">
        <v>501174</v>
      </c>
      <c r="B97" s="77" t="s">
        <v>524</v>
      </c>
      <c r="C97" s="77" t="s">
        <v>525</v>
      </c>
      <c r="D97" s="78">
        <v>33.19135</v>
      </c>
      <c r="E97" s="77" t="s">
        <v>1769</v>
      </c>
      <c r="F97" s="77" t="s">
        <v>1745</v>
      </c>
      <c r="G97" s="77" t="s">
        <v>1816</v>
      </c>
    </row>
    <row r="98" spans="1:7" ht="16" x14ac:dyDescent="0.2">
      <c r="A98" s="79">
        <v>500310</v>
      </c>
      <c r="B98" s="77" t="s">
        <v>710</v>
      </c>
      <c r="C98" s="77" t="s">
        <v>711</v>
      </c>
      <c r="D98" s="78">
        <v>2.512</v>
      </c>
      <c r="E98" s="77" t="s">
        <v>1769</v>
      </c>
      <c r="F98" s="77" t="s">
        <v>75</v>
      </c>
      <c r="G98" s="77" t="s">
        <v>1817</v>
      </c>
    </row>
    <row r="99" spans="1:7" ht="32" x14ac:dyDescent="0.2">
      <c r="A99" s="79">
        <v>502010</v>
      </c>
      <c r="B99" s="77" t="s">
        <v>722</v>
      </c>
      <c r="C99" s="77" t="s">
        <v>723</v>
      </c>
      <c r="D99" s="78">
        <v>2.1240000000000001</v>
      </c>
      <c r="E99" s="77" t="s">
        <v>1769</v>
      </c>
      <c r="F99" s="77" t="s">
        <v>1833</v>
      </c>
      <c r="G99" s="77" t="s">
        <v>1835</v>
      </c>
    </row>
    <row r="100" spans="1:7" ht="32" x14ac:dyDescent="0.2">
      <c r="A100" s="79">
        <v>500103</v>
      </c>
      <c r="B100" s="77" t="s">
        <v>112</v>
      </c>
      <c r="C100" s="77" t="s">
        <v>113</v>
      </c>
      <c r="D100" s="78">
        <v>1749.8149800000001</v>
      </c>
      <c r="E100" s="77" t="s">
        <v>1771</v>
      </c>
      <c r="F100" s="77" t="s">
        <v>1745</v>
      </c>
      <c r="G100" s="77" t="s">
        <v>1819</v>
      </c>
    </row>
    <row r="101" spans="1:7" ht="32" x14ac:dyDescent="0.2">
      <c r="A101" s="79">
        <v>501004</v>
      </c>
      <c r="B101" s="77" t="s">
        <v>122</v>
      </c>
      <c r="C101" s="77" t="s">
        <v>123</v>
      </c>
      <c r="D101" s="78">
        <v>1569.4502199999999</v>
      </c>
      <c r="E101" s="77" t="s">
        <v>1771</v>
      </c>
      <c r="F101" s="77" t="s">
        <v>75</v>
      </c>
      <c r="G101" s="77" t="s">
        <v>1820</v>
      </c>
    </row>
    <row r="102" spans="1:7" ht="32" x14ac:dyDescent="0.2">
      <c r="A102" s="79">
        <v>500188</v>
      </c>
      <c r="B102" s="77" t="s">
        <v>177</v>
      </c>
      <c r="C102" s="77" t="s">
        <v>178</v>
      </c>
      <c r="D102" s="78">
        <v>676.43877999999995</v>
      </c>
      <c r="E102" s="77" t="s">
        <v>1771</v>
      </c>
      <c r="F102" s="77" t="s">
        <v>75</v>
      </c>
      <c r="G102" s="77" t="s">
        <v>1820</v>
      </c>
    </row>
    <row r="103" spans="1:7" ht="32" x14ac:dyDescent="0.2">
      <c r="A103" s="79">
        <v>501136</v>
      </c>
      <c r="B103" s="77" t="s">
        <v>213</v>
      </c>
      <c r="C103" s="77" t="s">
        <v>214</v>
      </c>
      <c r="D103" s="78">
        <v>524.50165000000004</v>
      </c>
      <c r="E103" s="77" t="s">
        <v>1771</v>
      </c>
      <c r="F103" s="77" t="s">
        <v>1292</v>
      </c>
      <c r="G103" s="77" t="s">
        <v>1821</v>
      </c>
    </row>
    <row r="104" spans="1:7" ht="32" x14ac:dyDescent="0.2">
      <c r="A104" s="79">
        <v>500643</v>
      </c>
      <c r="B104" s="77" t="s">
        <v>223</v>
      </c>
      <c r="C104" s="77" t="s">
        <v>224</v>
      </c>
      <c r="D104" s="78">
        <v>493.06968000000001</v>
      </c>
      <c r="E104" s="77" t="s">
        <v>1771</v>
      </c>
      <c r="F104" s="77" t="s">
        <v>75</v>
      </c>
      <c r="G104" s="77" t="s">
        <v>1820</v>
      </c>
    </row>
    <row r="105" spans="1:7" ht="32" x14ac:dyDescent="0.2">
      <c r="A105" s="79">
        <v>500031</v>
      </c>
      <c r="B105" s="77" t="s">
        <v>246</v>
      </c>
      <c r="C105" s="77" t="s">
        <v>247</v>
      </c>
      <c r="D105" s="78">
        <v>389.50394</v>
      </c>
      <c r="E105" s="77" t="s">
        <v>1771</v>
      </c>
      <c r="F105" s="77" t="s">
        <v>1745</v>
      </c>
      <c r="G105" s="77" t="s">
        <v>1819</v>
      </c>
    </row>
    <row r="106" spans="1:7" ht="32" x14ac:dyDescent="0.2">
      <c r="A106" s="79">
        <v>500088</v>
      </c>
      <c r="B106" s="77" t="s">
        <v>258</v>
      </c>
      <c r="C106" s="77" t="s">
        <v>259</v>
      </c>
      <c r="D106" s="78">
        <v>360.25312000000002</v>
      </c>
      <c r="E106" s="77" t="s">
        <v>1771</v>
      </c>
      <c r="F106" s="77" t="s">
        <v>1745</v>
      </c>
      <c r="G106" s="77" t="s">
        <v>1819</v>
      </c>
    </row>
    <row r="107" spans="1:7" ht="48" x14ac:dyDescent="0.2">
      <c r="A107" s="79">
        <v>500918</v>
      </c>
      <c r="B107" s="77" t="s">
        <v>295</v>
      </c>
      <c r="C107" s="77" t="s">
        <v>296</v>
      </c>
      <c r="D107" s="78">
        <v>255.16188</v>
      </c>
      <c r="E107" s="77" t="s">
        <v>1771</v>
      </c>
      <c r="F107" s="77" t="s">
        <v>1833</v>
      </c>
      <c r="G107" s="77" t="s">
        <v>1836</v>
      </c>
    </row>
    <row r="108" spans="1:7" ht="32" x14ac:dyDescent="0.2">
      <c r="A108" s="79">
        <v>500608</v>
      </c>
      <c r="B108" s="77" t="s">
        <v>321</v>
      </c>
      <c r="C108" s="77" t="s">
        <v>322</v>
      </c>
      <c r="D108" s="78">
        <v>207.43306000000001</v>
      </c>
      <c r="E108" s="77" t="s">
        <v>1771</v>
      </c>
      <c r="F108" s="77" t="s">
        <v>1745</v>
      </c>
      <c r="G108" s="77" t="s">
        <v>1819</v>
      </c>
    </row>
    <row r="109" spans="1:7" ht="32" x14ac:dyDescent="0.2">
      <c r="A109" s="79">
        <v>501193</v>
      </c>
      <c r="B109" s="77" t="s">
        <v>400</v>
      </c>
      <c r="C109" s="77" t="s">
        <v>401</v>
      </c>
      <c r="D109" s="78">
        <v>99.538399999999996</v>
      </c>
      <c r="E109" s="77" t="s">
        <v>1771</v>
      </c>
      <c r="F109" s="77" t="s">
        <v>1292</v>
      </c>
      <c r="G109" s="77" t="s">
        <v>1821</v>
      </c>
    </row>
    <row r="110" spans="1:7" ht="32" x14ac:dyDescent="0.2">
      <c r="A110" s="79">
        <v>500940</v>
      </c>
      <c r="B110" s="77" t="s">
        <v>426</v>
      </c>
      <c r="C110" s="77" t="s">
        <v>427</v>
      </c>
      <c r="D110" s="78">
        <v>84.86215</v>
      </c>
      <c r="E110" s="77" t="s">
        <v>1771</v>
      </c>
      <c r="F110" s="77" t="s">
        <v>75</v>
      </c>
      <c r="G110" s="77" t="s">
        <v>1820</v>
      </c>
    </row>
    <row r="111" spans="1:7" ht="32" x14ac:dyDescent="0.2">
      <c r="A111" s="79">
        <v>500651</v>
      </c>
      <c r="B111" s="77" t="s">
        <v>446</v>
      </c>
      <c r="C111" s="77" t="s">
        <v>447</v>
      </c>
      <c r="D111" s="78">
        <v>74.489620000000002</v>
      </c>
      <c r="E111" s="77" t="s">
        <v>1771</v>
      </c>
      <c r="F111" s="77" t="s">
        <v>1745</v>
      </c>
      <c r="G111" s="77" t="s">
        <v>1819</v>
      </c>
    </row>
    <row r="112" spans="1:7" ht="48" x14ac:dyDescent="0.2">
      <c r="A112" s="79">
        <v>500699</v>
      </c>
      <c r="B112" s="77" t="s">
        <v>450</v>
      </c>
      <c r="C112" s="77" t="s">
        <v>451</v>
      </c>
      <c r="D112" s="78">
        <v>72.513599999999997</v>
      </c>
      <c r="E112" s="77" t="s">
        <v>1771</v>
      </c>
      <c r="F112" s="77" t="s">
        <v>1833</v>
      </c>
      <c r="G112" s="77" t="s">
        <v>1836</v>
      </c>
    </row>
    <row r="113" spans="1:7" ht="32" x14ac:dyDescent="0.2">
      <c r="A113" s="79">
        <v>501040</v>
      </c>
      <c r="B113" s="77" t="s">
        <v>492</v>
      </c>
      <c r="C113" s="77" t="s">
        <v>493</v>
      </c>
      <c r="D113" s="78">
        <v>46.757759999999998</v>
      </c>
      <c r="E113" s="77" t="s">
        <v>1771</v>
      </c>
      <c r="F113" s="77" t="s">
        <v>1745</v>
      </c>
      <c r="G113" s="77" t="s">
        <v>1819</v>
      </c>
    </row>
    <row r="114" spans="1:7" ht="32" x14ac:dyDescent="0.2">
      <c r="A114" s="79">
        <v>500832</v>
      </c>
      <c r="B114" s="77" t="s">
        <v>504</v>
      </c>
      <c r="C114" s="77" t="s">
        <v>505</v>
      </c>
      <c r="D114" s="78">
        <v>40.137500000000003</v>
      </c>
      <c r="E114" s="77" t="s">
        <v>1771</v>
      </c>
      <c r="F114" s="77" t="s">
        <v>1745</v>
      </c>
      <c r="G114" s="77" t="s">
        <v>1819</v>
      </c>
    </row>
    <row r="115" spans="1:7" ht="32" x14ac:dyDescent="0.2">
      <c r="A115" s="79">
        <v>500009</v>
      </c>
      <c r="B115" s="77" t="s">
        <v>544</v>
      </c>
      <c r="C115" s="77" t="s">
        <v>545</v>
      </c>
      <c r="D115" s="78">
        <v>25.314399999999999</v>
      </c>
      <c r="E115" s="77" t="s">
        <v>1771</v>
      </c>
      <c r="F115" s="77" t="s">
        <v>1745</v>
      </c>
      <c r="G115" s="77" t="s">
        <v>1819</v>
      </c>
    </row>
    <row r="116" spans="1:7" ht="32" x14ac:dyDescent="0.2">
      <c r="A116" s="79">
        <v>500305</v>
      </c>
      <c r="B116" s="77" t="s">
        <v>546</v>
      </c>
      <c r="C116" s="77" t="s">
        <v>547</v>
      </c>
      <c r="D116" s="78">
        <v>25.263310000000001</v>
      </c>
      <c r="E116" s="77" t="s">
        <v>1771</v>
      </c>
      <c r="F116" s="77" t="s">
        <v>75</v>
      </c>
      <c r="G116" s="77" t="s">
        <v>1820</v>
      </c>
    </row>
    <row r="117" spans="1:7" ht="48" x14ac:dyDescent="0.2">
      <c r="A117" s="79">
        <v>500107</v>
      </c>
      <c r="B117" s="77" t="s">
        <v>651</v>
      </c>
      <c r="C117" s="77" t="s">
        <v>652</v>
      </c>
      <c r="D117" s="78">
        <v>6.5030700000000001</v>
      </c>
      <c r="E117" s="77" t="s">
        <v>1771</v>
      </c>
      <c r="F117" s="77" t="s">
        <v>1833</v>
      </c>
      <c r="G117" s="77" t="s">
        <v>1836</v>
      </c>
    </row>
    <row r="118" spans="1:7" ht="48" x14ac:dyDescent="0.2">
      <c r="A118" s="79">
        <v>500851</v>
      </c>
      <c r="B118" s="77" t="s">
        <v>661</v>
      </c>
      <c r="C118" s="77" t="s">
        <v>662</v>
      </c>
      <c r="D118" s="78">
        <v>6.1183100000000001</v>
      </c>
      <c r="E118" s="77" t="s">
        <v>1771</v>
      </c>
      <c r="F118" s="77" t="s">
        <v>1833</v>
      </c>
      <c r="G118" s="77" t="s">
        <v>1836</v>
      </c>
    </row>
    <row r="119" spans="1:7" ht="32" x14ac:dyDescent="0.2">
      <c r="A119" s="79">
        <v>500014</v>
      </c>
      <c r="B119" s="77" t="s">
        <v>663</v>
      </c>
      <c r="C119" s="77" t="s">
        <v>664</v>
      </c>
      <c r="D119" s="78">
        <v>6.0645899999999999</v>
      </c>
      <c r="E119" s="77" t="s">
        <v>1771</v>
      </c>
      <c r="F119" s="77" t="s">
        <v>1745</v>
      </c>
      <c r="G119" s="77" t="s">
        <v>1819</v>
      </c>
    </row>
    <row r="120" spans="1:7" ht="48" x14ac:dyDescent="0.2">
      <c r="A120" s="79">
        <v>500200</v>
      </c>
      <c r="B120" s="77" t="s">
        <v>730</v>
      </c>
      <c r="C120" s="77" t="s">
        <v>731</v>
      </c>
      <c r="D120" s="78">
        <v>1.8355999999999999</v>
      </c>
      <c r="E120" s="77" t="s">
        <v>1771</v>
      </c>
      <c r="F120" s="77" t="s">
        <v>1833</v>
      </c>
      <c r="G120" s="77" t="s">
        <v>1836</v>
      </c>
    </row>
    <row r="121" spans="1:7" ht="48" x14ac:dyDescent="0.2">
      <c r="A121" s="79">
        <v>500210</v>
      </c>
      <c r="B121" s="77" t="s">
        <v>754</v>
      </c>
      <c r="C121" s="77" t="s">
        <v>755</v>
      </c>
      <c r="D121" s="78">
        <v>1.2979499999999999</v>
      </c>
      <c r="E121" s="77" t="s">
        <v>1771</v>
      </c>
      <c r="F121" s="77" t="s">
        <v>1833</v>
      </c>
      <c r="G121" s="77" t="s">
        <v>1836</v>
      </c>
    </row>
    <row r="122" spans="1:7" ht="48" x14ac:dyDescent="0.2">
      <c r="A122" s="79">
        <v>500211</v>
      </c>
      <c r="B122" s="77" t="s">
        <v>756</v>
      </c>
      <c r="C122" s="77" t="s">
        <v>757</v>
      </c>
      <c r="D122" s="78">
        <v>1.2372000000000001</v>
      </c>
      <c r="E122" s="77" t="s">
        <v>1771</v>
      </c>
      <c r="F122" s="77" t="s">
        <v>1833</v>
      </c>
      <c r="G122" s="77" t="s">
        <v>1836</v>
      </c>
    </row>
    <row r="123" spans="1:7" ht="32" x14ac:dyDescent="0.2">
      <c r="A123" s="79">
        <v>500129</v>
      </c>
      <c r="B123" s="77" t="s">
        <v>116</v>
      </c>
      <c r="C123" s="77" t="s">
        <v>117</v>
      </c>
      <c r="D123" s="78">
        <v>1691.0028400000001</v>
      </c>
      <c r="E123" s="77" t="s">
        <v>1773</v>
      </c>
      <c r="F123" s="77" t="s">
        <v>75</v>
      </c>
      <c r="G123" s="77" t="s">
        <v>1823</v>
      </c>
    </row>
    <row r="124" spans="1:7" ht="32" x14ac:dyDescent="0.2">
      <c r="A124" s="79">
        <v>500663</v>
      </c>
      <c r="B124" s="77" t="s">
        <v>159</v>
      </c>
      <c r="C124" s="77" t="s">
        <v>160</v>
      </c>
      <c r="D124" s="78">
        <v>851.05559000000005</v>
      </c>
      <c r="E124" s="77" t="s">
        <v>1773</v>
      </c>
      <c r="F124" s="77" t="s">
        <v>75</v>
      </c>
      <c r="G124" s="77" t="s">
        <v>1823</v>
      </c>
    </row>
    <row r="125" spans="1:7" ht="32" x14ac:dyDescent="0.2">
      <c r="A125" s="79">
        <v>500947</v>
      </c>
      <c r="B125" s="77" t="s">
        <v>165</v>
      </c>
      <c r="C125" s="77" t="s">
        <v>166</v>
      </c>
      <c r="D125" s="78">
        <v>833.67737</v>
      </c>
      <c r="E125" s="77" t="s">
        <v>1773</v>
      </c>
      <c r="F125" s="77" t="s">
        <v>1292</v>
      </c>
      <c r="G125" s="77" t="s">
        <v>1824</v>
      </c>
    </row>
    <row r="126" spans="1:7" ht="32" x14ac:dyDescent="0.2">
      <c r="A126" s="79">
        <v>500040</v>
      </c>
      <c r="B126" s="77" t="s">
        <v>229</v>
      </c>
      <c r="C126" s="77" t="s">
        <v>230</v>
      </c>
      <c r="D126" s="78">
        <v>460.96663999999998</v>
      </c>
      <c r="E126" s="77" t="s">
        <v>1773</v>
      </c>
      <c r="F126" s="77" t="s">
        <v>1745</v>
      </c>
      <c r="G126" s="77" t="s">
        <v>1822</v>
      </c>
    </row>
    <row r="127" spans="1:7" ht="32" x14ac:dyDescent="0.2">
      <c r="A127" s="79">
        <v>500753</v>
      </c>
      <c r="B127" s="77" t="s">
        <v>237</v>
      </c>
      <c r="C127" s="77" t="s">
        <v>238</v>
      </c>
      <c r="D127" s="78">
        <v>423.39071000000001</v>
      </c>
      <c r="E127" s="77" t="s">
        <v>1773</v>
      </c>
      <c r="F127" s="77" t="s">
        <v>1745</v>
      </c>
      <c r="G127" s="77" t="s">
        <v>1822</v>
      </c>
    </row>
    <row r="128" spans="1:7" ht="32" x14ac:dyDescent="0.2">
      <c r="A128" s="79">
        <v>500128</v>
      </c>
      <c r="B128" s="77" t="s">
        <v>299</v>
      </c>
      <c r="C128" s="77" t="s">
        <v>300</v>
      </c>
      <c r="D128" s="78">
        <v>243.51436000000001</v>
      </c>
      <c r="E128" s="77" t="s">
        <v>1773</v>
      </c>
      <c r="F128" s="77" t="s">
        <v>1745</v>
      </c>
      <c r="G128" s="77" t="s">
        <v>1822</v>
      </c>
    </row>
    <row r="129" spans="1:7" ht="32" x14ac:dyDescent="0.2">
      <c r="A129" s="79">
        <v>500307</v>
      </c>
      <c r="B129" s="77" t="s">
        <v>526</v>
      </c>
      <c r="C129" s="77" t="s">
        <v>527</v>
      </c>
      <c r="D129" s="78">
        <v>32.31785</v>
      </c>
      <c r="E129" s="77" t="s">
        <v>1773</v>
      </c>
      <c r="F129" s="77" t="s">
        <v>75</v>
      </c>
      <c r="G129" s="77" t="s">
        <v>1823</v>
      </c>
    </row>
    <row r="130" spans="1:7" ht="32" x14ac:dyDescent="0.2">
      <c r="A130" s="79">
        <v>500306</v>
      </c>
      <c r="B130" s="77" t="s">
        <v>542</v>
      </c>
      <c r="C130" s="77" t="s">
        <v>543</v>
      </c>
      <c r="D130" s="78">
        <v>25.843050000000002</v>
      </c>
      <c r="E130" s="77" t="s">
        <v>1773</v>
      </c>
      <c r="F130" s="77" t="s">
        <v>75</v>
      </c>
      <c r="G130" s="77" t="s">
        <v>1823</v>
      </c>
    </row>
    <row r="131" spans="1:7" ht="32" x14ac:dyDescent="0.2">
      <c r="A131" s="79">
        <v>500943</v>
      </c>
      <c r="B131" s="77" t="s">
        <v>552</v>
      </c>
      <c r="C131" s="77" t="s">
        <v>553</v>
      </c>
      <c r="D131" s="78">
        <v>22.910039999999999</v>
      </c>
      <c r="E131" s="77" t="s">
        <v>1773</v>
      </c>
      <c r="F131" s="77" t="s">
        <v>1833</v>
      </c>
      <c r="G131" s="77" t="s">
        <v>1837</v>
      </c>
    </row>
    <row r="132" spans="1:7" ht="32" x14ac:dyDescent="0.2">
      <c r="A132" s="79">
        <v>500043</v>
      </c>
      <c r="B132" s="77" t="s">
        <v>560</v>
      </c>
      <c r="C132" s="77" t="s">
        <v>561</v>
      </c>
      <c r="D132" s="78">
        <v>21.601680000000002</v>
      </c>
      <c r="E132" s="77" t="s">
        <v>1773</v>
      </c>
      <c r="F132" s="77" t="s">
        <v>1833</v>
      </c>
      <c r="G132" s="77" t="s">
        <v>1837</v>
      </c>
    </row>
    <row r="133" spans="1:7" ht="32" x14ac:dyDescent="0.2">
      <c r="A133" s="79">
        <v>501237</v>
      </c>
      <c r="B133" s="77" t="s">
        <v>604</v>
      </c>
      <c r="C133" s="77" t="s">
        <v>605</v>
      </c>
      <c r="D133" s="78">
        <v>10.574999999999999</v>
      </c>
      <c r="E133" s="77" t="s">
        <v>1773</v>
      </c>
      <c r="F133" s="77" t="s">
        <v>75</v>
      </c>
      <c r="G133" s="77" t="s">
        <v>1823</v>
      </c>
    </row>
    <row r="134" spans="1:7" ht="32" x14ac:dyDescent="0.2">
      <c r="A134" s="79">
        <v>500793</v>
      </c>
      <c r="B134" s="77" t="s">
        <v>610</v>
      </c>
      <c r="C134" s="77" t="s">
        <v>611</v>
      </c>
      <c r="D134" s="78">
        <v>9.6860199999999992</v>
      </c>
      <c r="E134" s="77" t="s">
        <v>1773</v>
      </c>
      <c r="F134" s="77" t="s">
        <v>1833</v>
      </c>
      <c r="G134" s="77" t="s">
        <v>1837</v>
      </c>
    </row>
    <row r="135" spans="1:7" ht="32" x14ac:dyDescent="0.2">
      <c r="A135" s="79">
        <v>500844</v>
      </c>
      <c r="B135" s="77" t="s">
        <v>669</v>
      </c>
      <c r="C135" s="77" t="s">
        <v>670</v>
      </c>
      <c r="D135" s="78">
        <v>5.5911600000000004</v>
      </c>
      <c r="E135" s="77" t="s">
        <v>1773</v>
      </c>
      <c r="F135" s="77" t="s">
        <v>1745</v>
      </c>
      <c r="G135" s="77" t="s">
        <v>1822</v>
      </c>
    </row>
    <row r="136" spans="1:7" ht="32" x14ac:dyDescent="0.2">
      <c r="A136" s="79">
        <v>500207</v>
      </c>
      <c r="B136" s="77" t="s">
        <v>742</v>
      </c>
      <c r="C136" s="77" t="s">
        <v>743</v>
      </c>
      <c r="D136" s="78">
        <v>1.6785000000000001</v>
      </c>
      <c r="E136" s="77" t="s">
        <v>1773</v>
      </c>
      <c r="F136" s="77" t="s">
        <v>1833</v>
      </c>
      <c r="G136" s="77" t="s">
        <v>1837</v>
      </c>
    </row>
    <row r="137" spans="1:7" ht="32" x14ac:dyDescent="0.2">
      <c r="A137" s="79">
        <v>500627</v>
      </c>
      <c r="B137" s="77" t="s">
        <v>74</v>
      </c>
      <c r="C137" s="77" t="s">
        <v>75</v>
      </c>
      <c r="D137" s="78">
        <v>75614.06783</v>
      </c>
      <c r="E137" s="77" t="s">
        <v>1775</v>
      </c>
      <c r="F137" s="77" t="s">
        <v>75</v>
      </c>
      <c r="G137" s="77" t="s">
        <v>1826</v>
      </c>
    </row>
    <row r="138" spans="1:7" ht="32" x14ac:dyDescent="0.2">
      <c r="A138" s="79">
        <v>500730</v>
      </c>
      <c r="B138" s="77" t="s">
        <v>96</v>
      </c>
      <c r="C138" s="77" t="s">
        <v>97</v>
      </c>
      <c r="D138" s="78">
        <v>2663.5214799999999</v>
      </c>
      <c r="E138" s="77" t="s">
        <v>1775</v>
      </c>
      <c r="F138" s="77" t="s">
        <v>75</v>
      </c>
      <c r="G138" s="77" t="s">
        <v>1826</v>
      </c>
    </row>
    <row r="139" spans="1:7" ht="48" x14ac:dyDescent="0.2">
      <c r="A139" s="79">
        <v>500668</v>
      </c>
      <c r="B139" s="77" t="s">
        <v>130</v>
      </c>
      <c r="C139" s="77" t="s">
        <v>131</v>
      </c>
      <c r="D139" s="78">
        <v>1442.7594300000001</v>
      </c>
      <c r="E139" s="77" t="s">
        <v>1775</v>
      </c>
      <c r="F139" s="77" t="s">
        <v>1833</v>
      </c>
      <c r="G139" s="77" t="s">
        <v>1838</v>
      </c>
    </row>
    <row r="140" spans="1:7" ht="32" x14ac:dyDescent="0.2">
      <c r="A140" s="79">
        <v>501035</v>
      </c>
      <c r="B140" s="77" t="s">
        <v>134</v>
      </c>
      <c r="C140" s="77" t="s">
        <v>135</v>
      </c>
      <c r="D140" s="78">
        <v>1317.16157</v>
      </c>
      <c r="E140" s="77" t="s">
        <v>1775</v>
      </c>
      <c r="F140" s="77" t="s">
        <v>75</v>
      </c>
      <c r="G140" s="77" t="s">
        <v>1826</v>
      </c>
    </row>
    <row r="141" spans="1:7" ht="48" x14ac:dyDescent="0.2">
      <c r="A141" s="79">
        <v>501113</v>
      </c>
      <c r="B141" s="77" t="s">
        <v>148</v>
      </c>
      <c r="C141" s="77" t="s">
        <v>1839</v>
      </c>
      <c r="D141" s="78">
        <v>954.92484000000002</v>
      </c>
      <c r="E141" s="77" t="s">
        <v>1775</v>
      </c>
      <c r="F141" s="77" t="s">
        <v>1833</v>
      </c>
      <c r="G141" s="77" t="s">
        <v>1838</v>
      </c>
    </row>
    <row r="142" spans="1:7" ht="32" x14ac:dyDescent="0.2">
      <c r="A142" s="79">
        <v>500809</v>
      </c>
      <c r="B142" s="77" t="s">
        <v>153</v>
      </c>
      <c r="C142" s="77" t="s">
        <v>154</v>
      </c>
      <c r="D142" s="78">
        <v>916.21621000000005</v>
      </c>
      <c r="E142" s="77" t="s">
        <v>1775</v>
      </c>
      <c r="F142" s="77" t="s">
        <v>1745</v>
      </c>
      <c r="G142" s="77" t="s">
        <v>1825</v>
      </c>
    </row>
    <row r="143" spans="1:7" ht="48" x14ac:dyDescent="0.2">
      <c r="A143" s="79">
        <v>501100</v>
      </c>
      <c r="B143" s="77" t="s">
        <v>169</v>
      </c>
      <c r="C143" s="77" t="s">
        <v>1839</v>
      </c>
      <c r="D143" s="78">
        <v>751.15895999999998</v>
      </c>
      <c r="E143" s="77" t="s">
        <v>1775</v>
      </c>
      <c r="F143" s="77" t="s">
        <v>1833</v>
      </c>
      <c r="G143" s="77" t="s">
        <v>1838</v>
      </c>
    </row>
    <row r="144" spans="1:7" ht="32" x14ac:dyDescent="0.2">
      <c r="A144" s="79">
        <v>501115</v>
      </c>
      <c r="B144" s="77" t="s">
        <v>174</v>
      </c>
      <c r="C144" s="77" t="s">
        <v>1839</v>
      </c>
      <c r="D144" s="78">
        <v>698.30712000000005</v>
      </c>
      <c r="E144" s="77" t="s">
        <v>1775</v>
      </c>
      <c r="F144" s="77" t="s">
        <v>75</v>
      </c>
      <c r="G144" s="77" t="s">
        <v>1826</v>
      </c>
    </row>
    <row r="145" spans="1:7" ht="32" x14ac:dyDescent="0.2">
      <c r="A145" s="79">
        <v>500750</v>
      </c>
      <c r="B145" s="77" t="s">
        <v>175</v>
      </c>
      <c r="C145" s="77" t="s">
        <v>176</v>
      </c>
      <c r="D145" s="78">
        <v>691.27790000000005</v>
      </c>
      <c r="E145" s="77" t="s">
        <v>1775</v>
      </c>
      <c r="F145" s="77" t="s">
        <v>75</v>
      </c>
      <c r="G145" s="77" t="s">
        <v>1826</v>
      </c>
    </row>
    <row r="146" spans="1:7" ht="32" x14ac:dyDescent="0.2">
      <c r="A146" s="79">
        <v>500163</v>
      </c>
      <c r="B146" s="77" t="s">
        <v>185</v>
      </c>
      <c r="C146" s="77" t="s">
        <v>186</v>
      </c>
      <c r="D146" s="78">
        <v>653.20145000000002</v>
      </c>
      <c r="E146" s="77" t="s">
        <v>1775</v>
      </c>
      <c r="F146" s="77" t="s">
        <v>1745</v>
      </c>
      <c r="G146" s="77" t="s">
        <v>1825</v>
      </c>
    </row>
    <row r="147" spans="1:7" ht="32" x14ac:dyDescent="0.2">
      <c r="A147" s="79">
        <v>501058</v>
      </c>
      <c r="B147" s="77" t="s">
        <v>189</v>
      </c>
      <c r="C147" s="77" t="s">
        <v>190</v>
      </c>
      <c r="D147" s="78">
        <v>621.67553999999996</v>
      </c>
      <c r="E147" s="77" t="s">
        <v>1775</v>
      </c>
      <c r="F147" s="77" t="s">
        <v>75</v>
      </c>
      <c r="G147" s="77" t="s">
        <v>1826</v>
      </c>
    </row>
    <row r="148" spans="1:7" ht="32" x14ac:dyDescent="0.2">
      <c r="A148" s="79">
        <v>500024</v>
      </c>
      <c r="B148" s="77" t="s">
        <v>207</v>
      </c>
      <c r="C148" s="77" t="s">
        <v>208</v>
      </c>
      <c r="D148" s="78">
        <v>548.24077</v>
      </c>
      <c r="E148" s="77" t="s">
        <v>1775</v>
      </c>
      <c r="F148" s="77" t="s">
        <v>1745</v>
      </c>
      <c r="G148" s="77" t="s">
        <v>1825</v>
      </c>
    </row>
    <row r="149" spans="1:7" ht="32" x14ac:dyDescent="0.2">
      <c r="A149" s="79">
        <v>500165</v>
      </c>
      <c r="B149" s="77" t="s">
        <v>211</v>
      </c>
      <c r="C149" s="77" t="s">
        <v>212</v>
      </c>
      <c r="D149" s="78">
        <v>529.53098</v>
      </c>
      <c r="E149" s="77" t="s">
        <v>1775</v>
      </c>
      <c r="F149" s="77" t="s">
        <v>1745</v>
      </c>
      <c r="G149" s="77" t="s">
        <v>1825</v>
      </c>
    </row>
    <row r="150" spans="1:7" ht="32" x14ac:dyDescent="0.2">
      <c r="A150" s="79">
        <v>501033</v>
      </c>
      <c r="B150" s="77" t="s">
        <v>221</v>
      </c>
      <c r="C150" s="77" t="s">
        <v>222</v>
      </c>
      <c r="D150" s="78">
        <v>500.56558000000001</v>
      </c>
      <c r="E150" s="77" t="s">
        <v>1775</v>
      </c>
      <c r="F150" s="77" t="s">
        <v>75</v>
      </c>
      <c r="G150" s="77" t="s">
        <v>1826</v>
      </c>
    </row>
    <row r="151" spans="1:7" ht="32" x14ac:dyDescent="0.2">
      <c r="A151" s="79">
        <v>500808</v>
      </c>
      <c r="B151" s="77" t="s">
        <v>225</v>
      </c>
      <c r="C151" s="77" t="s">
        <v>226</v>
      </c>
      <c r="D151" s="78">
        <v>487.24696</v>
      </c>
      <c r="E151" s="77" t="s">
        <v>1775</v>
      </c>
      <c r="F151" s="77" t="s">
        <v>1745</v>
      </c>
      <c r="G151" s="77" t="s">
        <v>1825</v>
      </c>
    </row>
    <row r="152" spans="1:7" ht="32" x14ac:dyDescent="0.2">
      <c r="A152" s="79">
        <v>501047</v>
      </c>
      <c r="B152" s="77" t="s">
        <v>243</v>
      </c>
      <c r="C152" s="77" t="s">
        <v>244</v>
      </c>
      <c r="D152" s="78">
        <v>390.79539</v>
      </c>
      <c r="E152" s="77" t="s">
        <v>1775</v>
      </c>
      <c r="F152" s="77" t="s">
        <v>1292</v>
      </c>
      <c r="G152" s="77" t="s">
        <v>1827</v>
      </c>
    </row>
    <row r="153" spans="1:7" ht="48" x14ac:dyDescent="0.2">
      <c r="A153" s="79">
        <v>501101</v>
      </c>
      <c r="B153" s="77" t="s">
        <v>245</v>
      </c>
      <c r="C153" s="77" t="s">
        <v>1839</v>
      </c>
      <c r="D153" s="78">
        <v>390.43331000000001</v>
      </c>
      <c r="E153" s="77" t="s">
        <v>1775</v>
      </c>
      <c r="F153" s="77" t="s">
        <v>1833</v>
      </c>
      <c r="G153" s="77" t="s">
        <v>1838</v>
      </c>
    </row>
    <row r="154" spans="1:7" ht="32" x14ac:dyDescent="0.2">
      <c r="A154" s="79">
        <v>501032</v>
      </c>
      <c r="B154" s="77" t="s">
        <v>254</v>
      </c>
      <c r="C154" s="77" t="s">
        <v>255</v>
      </c>
      <c r="D154" s="78">
        <v>373.70395000000002</v>
      </c>
      <c r="E154" s="77" t="s">
        <v>1775</v>
      </c>
      <c r="F154" s="77" t="s">
        <v>75</v>
      </c>
      <c r="G154" s="77" t="s">
        <v>1826</v>
      </c>
    </row>
    <row r="155" spans="1:7" ht="32" x14ac:dyDescent="0.2">
      <c r="A155" s="79">
        <v>500179</v>
      </c>
      <c r="B155" s="77" t="s">
        <v>260</v>
      </c>
      <c r="C155" s="77" t="s">
        <v>261</v>
      </c>
      <c r="D155" s="78">
        <v>343.96505000000002</v>
      </c>
      <c r="E155" s="77" t="s">
        <v>1775</v>
      </c>
      <c r="F155" s="77" t="s">
        <v>1745</v>
      </c>
      <c r="G155" s="77" t="s">
        <v>1825</v>
      </c>
    </row>
    <row r="156" spans="1:7" ht="32" x14ac:dyDescent="0.2">
      <c r="A156" s="79">
        <v>500114</v>
      </c>
      <c r="B156" s="77" t="s">
        <v>262</v>
      </c>
      <c r="C156" s="77" t="s">
        <v>263</v>
      </c>
      <c r="D156" s="78">
        <v>336.84417000000002</v>
      </c>
      <c r="E156" s="77" t="s">
        <v>1775</v>
      </c>
      <c r="F156" s="77" t="s">
        <v>1745</v>
      </c>
      <c r="G156" s="77" t="s">
        <v>1825</v>
      </c>
    </row>
    <row r="157" spans="1:7" ht="48" x14ac:dyDescent="0.2">
      <c r="A157" s="79">
        <v>501102</v>
      </c>
      <c r="B157" s="77" t="s">
        <v>264</v>
      </c>
      <c r="C157" s="77" t="s">
        <v>1839</v>
      </c>
      <c r="D157" s="78">
        <v>334.19060000000002</v>
      </c>
      <c r="E157" s="77" t="s">
        <v>1775</v>
      </c>
      <c r="F157" s="77" t="s">
        <v>1833</v>
      </c>
      <c r="G157" s="77" t="s">
        <v>1838</v>
      </c>
    </row>
    <row r="158" spans="1:7" ht="32" x14ac:dyDescent="0.2">
      <c r="A158" s="79">
        <v>500162</v>
      </c>
      <c r="B158" s="77" t="s">
        <v>273</v>
      </c>
      <c r="C158" s="77" t="s">
        <v>274</v>
      </c>
      <c r="D158" s="78">
        <v>309.31792000000002</v>
      </c>
      <c r="E158" s="77" t="s">
        <v>1775</v>
      </c>
      <c r="F158" s="77" t="s">
        <v>1745</v>
      </c>
      <c r="G158" s="77" t="s">
        <v>1825</v>
      </c>
    </row>
    <row r="159" spans="1:7" ht="32" x14ac:dyDescent="0.2">
      <c r="A159" s="79">
        <v>501015</v>
      </c>
      <c r="B159" s="77" t="s">
        <v>275</v>
      </c>
      <c r="C159" s="77" t="s">
        <v>276</v>
      </c>
      <c r="D159" s="78">
        <v>309.24218999999999</v>
      </c>
      <c r="E159" s="77" t="s">
        <v>1775</v>
      </c>
      <c r="F159" s="77" t="s">
        <v>75</v>
      </c>
      <c r="G159" s="77" t="s">
        <v>1826</v>
      </c>
    </row>
    <row r="160" spans="1:7" ht="48" x14ac:dyDescent="0.2">
      <c r="A160" s="79">
        <v>500657</v>
      </c>
      <c r="B160" s="77" t="s">
        <v>287</v>
      </c>
      <c r="C160" s="77" t="s">
        <v>288</v>
      </c>
      <c r="D160" s="78">
        <v>281.88738999999998</v>
      </c>
      <c r="E160" s="77" t="s">
        <v>1775</v>
      </c>
      <c r="F160" s="77" t="s">
        <v>1833</v>
      </c>
      <c r="G160" s="77" t="s">
        <v>1838</v>
      </c>
    </row>
    <row r="161" spans="1:7" ht="32" x14ac:dyDescent="0.2">
      <c r="A161" s="79">
        <v>501038</v>
      </c>
      <c r="B161" s="77" t="s">
        <v>315</v>
      </c>
      <c r="C161" s="77" t="s">
        <v>316</v>
      </c>
      <c r="D161" s="78">
        <v>211.33234999999999</v>
      </c>
      <c r="E161" s="77" t="s">
        <v>1775</v>
      </c>
      <c r="F161" s="77" t="s">
        <v>1745</v>
      </c>
      <c r="G161" s="77" t="s">
        <v>1825</v>
      </c>
    </row>
    <row r="162" spans="1:7" ht="32" x14ac:dyDescent="0.2">
      <c r="A162" s="79">
        <v>501089</v>
      </c>
      <c r="B162" s="77" t="s">
        <v>335</v>
      </c>
      <c r="C162" s="77" t="s">
        <v>1839</v>
      </c>
      <c r="D162" s="78">
        <v>181.09218999999999</v>
      </c>
      <c r="E162" s="77" t="s">
        <v>1775</v>
      </c>
      <c r="F162" s="77" t="s">
        <v>75</v>
      </c>
      <c r="G162" s="77" t="s">
        <v>1826</v>
      </c>
    </row>
    <row r="163" spans="1:7" ht="32" x14ac:dyDescent="0.2">
      <c r="A163" s="79">
        <v>500619</v>
      </c>
      <c r="B163" s="77" t="s">
        <v>346</v>
      </c>
      <c r="C163" s="77" t="s">
        <v>347</v>
      </c>
      <c r="D163" s="78">
        <v>167.49833000000001</v>
      </c>
      <c r="E163" s="77" t="s">
        <v>1775</v>
      </c>
      <c r="F163" s="77" t="s">
        <v>75</v>
      </c>
      <c r="G163" s="77" t="s">
        <v>1826</v>
      </c>
    </row>
    <row r="164" spans="1:7" ht="32" x14ac:dyDescent="0.2">
      <c r="A164" s="79">
        <v>500616</v>
      </c>
      <c r="B164" s="77" t="s">
        <v>354</v>
      </c>
      <c r="C164" s="77" t="s">
        <v>355</v>
      </c>
      <c r="D164" s="78">
        <v>161.37775999999999</v>
      </c>
      <c r="E164" s="77" t="s">
        <v>1775</v>
      </c>
      <c r="F164" s="77" t="s">
        <v>1745</v>
      </c>
      <c r="G164" s="77" t="s">
        <v>1825</v>
      </c>
    </row>
    <row r="165" spans="1:7" ht="32" x14ac:dyDescent="0.2">
      <c r="A165" s="79">
        <v>501007</v>
      </c>
      <c r="B165" s="77" t="s">
        <v>356</v>
      </c>
      <c r="C165" s="77" t="s">
        <v>357</v>
      </c>
      <c r="D165" s="78">
        <v>160.72783999999999</v>
      </c>
      <c r="E165" s="77" t="s">
        <v>1775</v>
      </c>
      <c r="F165" s="77" t="s">
        <v>1745</v>
      </c>
      <c r="G165" s="77" t="s">
        <v>1825</v>
      </c>
    </row>
    <row r="166" spans="1:7" ht="32" x14ac:dyDescent="0.2">
      <c r="A166" s="79">
        <v>500980</v>
      </c>
      <c r="B166" s="77" t="s">
        <v>360</v>
      </c>
      <c r="C166" s="77" t="s">
        <v>361</v>
      </c>
      <c r="D166" s="78">
        <v>154.78693000000001</v>
      </c>
      <c r="E166" s="77" t="s">
        <v>1775</v>
      </c>
      <c r="F166" s="77" t="s">
        <v>1745</v>
      </c>
      <c r="G166" s="77" t="s">
        <v>1825</v>
      </c>
    </row>
    <row r="167" spans="1:7" ht="32" x14ac:dyDescent="0.2">
      <c r="A167" s="79">
        <v>500962</v>
      </c>
      <c r="B167" s="77" t="s">
        <v>378</v>
      </c>
      <c r="C167" s="77" t="s">
        <v>379</v>
      </c>
      <c r="D167" s="78">
        <v>136.95773</v>
      </c>
      <c r="E167" s="77" t="s">
        <v>1775</v>
      </c>
      <c r="F167" s="77" t="s">
        <v>75</v>
      </c>
      <c r="G167" s="77" t="s">
        <v>1826</v>
      </c>
    </row>
    <row r="168" spans="1:7" ht="32" x14ac:dyDescent="0.2">
      <c r="A168" s="79">
        <v>500942</v>
      </c>
      <c r="B168" s="77" t="s">
        <v>386</v>
      </c>
      <c r="C168" s="77" t="s">
        <v>387</v>
      </c>
      <c r="D168" s="78">
        <v>124.18559999999999</v>
      </c>
      <c r="E168" s="77" t="s">
        <v>1775</v>
      </c>
      <c r="F168" s="77" t="s">
        <v>1745</v>
      </c>
      <c r="G168" s="77" t="s">
        <v>1825</v>
      </c>
    </row>
    <row r="169" spans="1:7" ht="32" x14ac:dyDescent="0.2">
      <c r="A169" s="79">
        <v>500953</v>
      </c>
      <c r="B169" s="77" t="s">
        <v>398</v>
      </c>
      <c r="C169" s="77" t="s">
        <v>399</v>
      </c>
      <c r="D169" s="78">
        <v>103.29476</v>
      </c>
      <c r="E169" s="77" t="s">
        <v>1775</v>
      </c>
      <c r="F169" s="77" t="s">
        <v>1745</v>
      </c>
      <c r="G169" s="77" t="s">
        <v>1825</v>
      </c>
    </row>
    <row r="170" spans="1:7" ht="48" x14ac:dyDescent="0.2">
      <c r="A170" s="79">
        <v>501099</v>
      </c>
      <c r="B170" s="77" t="s">
        <v>402</v>
      </c>
      <c r="C170" s="77" t="s">
        <v>1839</v>
      </c>
      <c r="D170" s="78">
        <v>98.350610000000003</v>
      </c>
      <c r="E170" s="77" t="s">
        <v>1775</v>
      </c>
      <c r="F170" s="77" t="s">
        <v>1833</v>
      </c>
      <c r="G170" s="77" t="s">
        <v>1838</v>
      </c>
    </row>
    <row r="171" spans="1:7" ht="48" x14ac:dyDescent="0.2">
      <c r="A171" s="79">
        <v>591919</v>
      </c>
      <c r="B171" s="77" t="s">
        <v>413</v>
      </c>
      <c r="C171" s="77" t="s">
        <v>414</v>
      </c>
      <c r="D171" s="78">
        <v>91.63355</v>
      </c>
      <c r="E171" s="77" t="s">
        <v>1775</v>
      </c>
      <c r="F171" s="77" t="s">
        <v>1833</v>
      </c>
      <c r="G171" s="77" t="s">
        <v>1838</v>
      </c>
    </row>
    <row r="172" spans="1:7" ht="48" x14ac:dyDescent="0.2">
      <c r="A172" s="79">
        <v>501083</v>
      </c>
      <c r="B172" s="77" t="s">
        <v>423</v>
      </c>
      <c r="C172" s="77" t="s">
        <v>1839</v>
      </c>
      <c r="D172" s="78">
        <v>87.208020000000005</v>
      </c>
      <c r="E172" s="77" t="s">
        <v>1775</v>
      </c>
      <c r="F172" s="77" t="s">
        <v>1833</v>
      </c>
      <c r="G172" s="77" t="s">
        <v>1838</v>
      </c>
    </row>
    <row r="173" spans="1:7" ht="32" x14ac:dyDescent="0.2">
      <c r="A173" s="79">
        <v>500996</v>
      </c>
      <c r="B173" s="77" t="s">
        <v>434</v>
      </c>
      <c r="C173" s="77" t="s">
        <v>435</v>
      </c>
      <c r="D173" s="78">
        <v>80.320260000000005</v>
      </c>
      <c r="E173" s="77" t="s">
        <v>1775</v>
      </c>
      <c r="F173" s="77" t="s">
        <v>1745</v>
      </c>
      <c r="G173" s="77" t="s">
        <v>1825</v>
      </c>
    </row>
    <row r="174" spans="1:7" ht="48" x14ac:dyDescent="0.2">
      <c r="A174" s="79">
        <v>501076</v>
      </c>
      <c r="B174" s="77" t="s">
        <v>436</v>
      </c>
      <c r="C174" s="77" t="s">
        <v>437</v>
      </c>
      <c r="D174" s="78">
        <v>80.077910000000003</v>
      </c>
      <c r="E174" s="77" t="s">
        <v>1775</v>
      </c>
      <c r="F174" s="77" t="s">
        <v>1833</v>
      </c>
      <c r="G174" s="77" t="s">
        <v>1838</v>
      </c>
    </row>
    <row r="175" spans="1:7" ht="48" x14ac:dyDescent="0.2">
      <c r="A175" s="79">
        <v>501114</v>
      </c>
      <c r="B175" s="77" t="s">
        <v>462</v>
      </c>
      <c r="C175" s="77" t="s">
        <v>1839</v>
      </c>
      <c r="D175" s="78">
        <v>63.75</v>
      </c>
      <c r="E175" s="77" t="s">
        <v>1775</v>
      </c>
      <c r="F175" s="77" t="s">
        <v>1833</v>
      </c>
      <c r="G175" s="77" t="s">
        <v>1838</v>
      </c>
    </row>
    <row r="176" spans="1:7" ht="48" x14ac:dyDescent="0.2">
      <c r="A176" s="79">
        <v>501082</v>
      </c>
      <c r="B176" s="77" t="s">
        <v>463</v>
      </c>
      <c r="C176" s="77" t="s">
        <v>1839</v>
      </c>
      <c r="D176" s="78">
        <v>63.548169999999999</v>
      </c>
      <c r="E176" s="77" t="s">
        <v>1775</v>
      </c>
      <c r="F176" s="77" t="s">
        <v>1833</v>
      </c>
      <c r="G176" s="77" t="s">
        <v>1838</v>
      </c>
    </row>
    <row r="177" spans="1:7" ht="48" x14ac:dyDescent="0.2">
      <c r="A177" s="79">
        <v>500314</v>
      </c>
      <c r="B177" s="77" t="s">
        <v>476</v>
      </c>
      <c r="C177" s="77" t="s">
        <v>477</v>
      </c>
      <c r="D177" s="78">
        <v>56.86786</v>
      </c>
      <c r="E177" s="77" t="s">
        <v>1775</v>
      </c>
      <c r="F177" s="77" t="s">
        <v>1833</v>
      </c>
      <c r="G177" s="77" t="s">
        <v>1838</v>
      </c>
    </row>
    <row r="178" spans="1:7" ht="48" x14ac:dyDescent="0.2">
      <c r="A178" s="79">
        <v>500171</v>
      </c>
      <c r="B178" s="77" t="s">
        <v>478</v>
      </c>
      <c r="C178" s="77" t="s">
        <v>479</v>
      </c>
      <c r="D178" s="78">
        <v>54</v>
      </c>
      <c r="E178" s="77" t="s">
        <v>1775</v>
      </c>
      <c r="F178" s="77" t="s">
        <v>1833</v>
      </c>
      <c r="G178" s="77" t="s">
        <v>1838</v>
      </c>
    </row>
    <row r="179" spans="1:7" ht="32" x14ac:dyDescent="0.2">
      <c r="A179" s="79">
        <v>501220</v>
      </c>
      <c r="B179" s="77" t="s">
        <v>480</v>
      </c>
      <c r="C179" s="77" t="s">
        <v>481</v>
      </c>
      <c r="D179" s="78">
        <v>51.533999999999999</v>
      </c>
      <c r="E179" s="77" t="s">
        <v>1775</v>
      </c>
      <c r="F179" s="77" t="s">
        <v>1292</v>
      </c>
      <c r="G179" s="77" t="s">
        <v>1827</v>
      </c>
    </row>
    <row r="180" spans="1:7" ht="48" x14ac:dyDescent="0.2">
      <c r="A180" s="79">
        <v>500792</v>
      </c>
      <c r="B180" s="77" t="s">
        <v>490</v>
      </c>
      <c r="C180" s="77" t="s">
        <v>1839</v>
      </c>
      <c r="D180" s="78">
        <v>47.277520000000003</v>
      </c>
      <c r="E180" s="77" t="s">
        <v>1775</v>
      </c>
      <c r="F180" s="77" t="s">
        <v>1833</v>
      </c>
      <c r="G180" s="77" t="s">
        <v>1838</v>
      </c>
    </row>
    <row r="181" spans="1:7" ht="48" x14ac:dyDescent="0.2">
      <c r="A181" s="79" t="s">
        <v>1839</v>
      </c>
      <c r="B181" s="77" t="s">
        <v>491</v>
      </c>
      <c r="C181" s="77" t="s">
        <v>1839</v>
      </c>
      <c r="D181" s="78">
        <v>46.917160000000003</v>
      </c>
      <c r="E181" s="77" t="s">
        <v>1775</v>
      </c>
      <c r="F181" s="77" t="s">
        <v>1833</v>
      </c>
      <c r="G181" s="77" t="s">
        <v>1838</v>
      </c>
    </row>
    <row r="182" spans="1:7" ht="32" x14ac:dyDescent="0.2">
      <c r="A182" s="79">
        <v>501144</v>
      </c>
      <c r="B182" s="77" t="s">
        <v>494</v>
      </c>
      <c r="C182" s="77" t="s">
        <v>495</v>
      </c>
      <c r="D182" s="78">
        <v>46.231180000000002</v>
      </c>
      <c r="E182" s="77" t="s">
        <v>1775</v>
      </c>
      <c r="F182" s="77" t="s">
        <v>75</v>
      </c>
      <c r="G182" s="77" t="s">
        <v>1826</v>
      </c>
    </row>
    <row r="183" spans="1:7" ht="48" x14ac:dyDescent="0.2">
      <c r="A183" s="79">
        <v>500734</v>
      </c>
      <c r="B183" s="77" t="s">
        <v>500</v>
      </c>
      <c r="C183" s="77" t="s">
        <v>501</v>
      </c>
      <c r="D183" s="78">
        <v>41.045319999999997</v>
      </c>
      <c r="E183" s="77" t="s">
        <v>1775</v>
      </c>
      <c r="F183" s="77" t="s">
        <v>1833</v>
      </c>
      <c r="G183" s="77" t="s">
        <v>1838</v>
      </c>
    </row>
    <row r="184" spans="1:7" ht="48" x14ac:dyDescent="0.2">
      <c r="A184" s="79">
        <v>501164</v>
      </c>
      <c r="B184" s="77" t="s">
        <v>502</v>
      </c>
      <c r="C184" s="77" t="s">
        <v>503</v>
      </c>
      <c r="D184" s="78">
        <v>40.637599999999999</v>
      </c>
      <c r="E184" s="77" t="s">
        <v>1775</v>
      </c>
      <c r="F184" s="77" t="s">
        <v>1833</v>
      </c>
      <c r="G184" s="77" t="s">
        <v>1838</v>
      </c>
    </row>
    <row r="185" spans="1:7" ht="32" x14ac:dyDescent="0.2">
      <c r="A185" s="79">
        <v>501133</v>
      </c>
      <c r="B185" s="77" t="s">
        <v>556</v>
      </c>
      <c r="C185" s="77" t="s">
        <v>557</v>
      </c>
      <c r="D185" s="78">
        <v>22.21125</v>
      </c>
      <c r="E185" s="77" t="s">
        <v>1775</v>
      </c>
      <c r="F185" s="77" t="s">
        <v>1745</v>
      </c>
      <c r="G185" s="77" t="s">
        <v>1825</v>
      </c>
    </row>
    <row r="186" spans="1:7" ht="32" x14ac:dyDescent="0.2">
      <c r="A186" s="79">
        <v>500046</v>
      </c>
      <c r="B186" s="77" t="s">
        <v>572</v>
      </c>
      <c r="C186" s="77" t="s">
        <v>573</v>
      </c>
      <c r="D186" s="78">
        <v>19.447800000000001</v>
      </c>
      <c r="E186" s="77" t="s">
        <v>1775</v>
      </c>
      <c r="F186" s="77" t="s">
        <v>1745</v>
      </c>
      <c r="G186" s="77" t="s">
        <v>1825</v>
      </c>
    </row>
    <row r="187" spans="1:7" ht="48" x14ac:dyDescent="0.2">
      <c r="A187" s="79">
        <v>500917</v>
      </c>
      <c r="B187" s="77" t="s">
        <v>580</v>
      </c>
      <c r="C187" s="77" t="s">
        <v>581</v>
      </c>
      <c r="D187" s="78">
        <v>16.67718</v>
      </c>
      <c r="E187" s="77" t="s">
        <v>1775</v>
      </c>
      <c r="F187" s="77" t="s">
        <v>1833</v>
      </c>
      <c r="G187" s="77" t="s">
        <v>1838</v>
      </c>
    </row>
    <row r="188" spans="1:7" ht="48" x14ac:dyDescent="0.2">
      <c r="A188" s="79">
        <v>501090</v>
      </c>
      <c r="B188" s="77" t="s">
        <v>588</v>
      </c>
      <c r="C188" s="77" t="s">
        <v>1839</v>
      </c>
      <c r="D188" s="78">
        <v>14.791499999999999</v>
      </c>
      <c r="E188" s="77" t="s">
        <v>1775</v>
      </c>
      <c r="F188" s="77" t="s">
        <v>1833</v>
      </c>
      <c r="G188" s="77" t="s">
        <v>1838</v>
      </c>
    </row>
    <row r="189" spans="1:7" ht="48" x14ac:dyDescent="0.2">
      <c r="A189" s="79">
        <v>500701</v>
      </c>
      <c r="B189" s="77" t="s">
        <v>589</v>
      </c>
      <c r="C189" s="77" t="s">
        <v>590</v>
      </c>
      <c r="D189" s="78">
        <v>14.617900000000001</v>
      </c>
      <c r="E189" s="77" t="s">
        <v>1775</v>
      </c>
      <c r="F189" s="77" t="s">
        <v>1833</v>
      </c>
      <c r="G189" s="77" t="s">
        <v>1838</v>
      </c>
    </row>
    <row r="190" spans="1:7" ht="48" x14ac:dyDescent="0.2">
      <c r="A190" s="79">
        <v>500791</v>
      </c>
      <c r="B190" s="77" t="s">
        <v>591</v>
      </c>
      <c r="C190" s="77" t="s">
        <v>1839</v>
      </c>
      <c r="D190" s="78">
        <v>13.278700000000001</v>
      </c>
      <c r="E190" s="77" t="s">
        <v>1775</v>
      </c>
      <c r="F190" s="77" t="s">
        <v>1833</v>
      </c>
      <c r="G190" s="77" t="s">
        <v>1838</v>
      </c>
    </row>
    <row r="191" spans="1:7" ht="32" x14ac:dyDescent="0.2">
      <c r="A191" s="79">
        <v>500049</v>
      </c>
      <c r="B191" s="77" t="s">
        <v>594</v>
      </c>
      <c r="C191" s="77" t="s">
        <v>595</v>
      </c>
      <c r="D191" s="78">
        <v>12.8</v>
      </c>
      <c r="E191" s="77" t="s">
        <v>1775</v>
      </c>
      <c r="F191" s="77" t="s">
        <v>1745</v>
      </c>
      <c r="G191" s="77" t="s">
        <v>1825</v>
      </c>
    </row>
    <row r="192" spans="1:7" ht="48" x14ac:dyDescent="0.2">
      <c r="A192" s="79">
        <v>500660</v>
      </c>
      <c r="B192" s="77" t="s">
        <v>606</v>
      </c>
      <c r="C192" s="77" t="s">
        <v>607</v>
      </c>
      <c r="D192" s="78">
        <v>10.2384</v>
      </c>
      <c r="E192" s="77" t="s">
        <v>1775</v>
      </c>
      <c r="F192" s="77" t="s">
        <v>1833</v>
      </c>
      <c r="G192" s="77" t="s">
        <v>1838</v>
      </c>
    </row>
    <row r="193" spans="1:7" ht="48" x14ac:dyDescent="0.2">
      <c r="A193" s="79">
        <v>500790</v>
      </c>
      <c r="B193" s="77" t="s">
        <v>618</v>
      </c>
      <c r="C193" s="77" t="s">
        <v>1839</v>
      </c>
      <c r="D193" s="78">
        <v>8.8747000000000007</v>
      </c>
      <c r="E193" s="77" t="s">
        <v>1775</v>
      </c>
      <c r="F193" s="77" t="s">
        <v>1833</v>
      </c>
      <c r="G193" s="77" t="s">
        <v>1838</v>
      </c>
    </row>
    <row r="194" spans="1:7" ht="32" x14ac:dyDescent="0.2">
      <c r="A194" s="79">
        <v>501240</v>
      </c>
      <c r="B194" s="77" t="s">
        <v>619</v>
      </c>
      <c r="C194" s="77" t="s">
        <v>620</v>
      </c>
      <c r="D194" s="78">
        <v>8.2460000000000004</v>
      </c>
      <c r="E194" s="77" t="s">
        <v>1775</v>
      </c>
      <c r="F194" s="77" t="s">
        <v>1745</v>
      </c>
      <c r="G194" s="77" t="s">
        <v>1825</v>
      </c>
    </row>
    <row r="195" spans="1:7" ht="32" x14ac:dyDescent="0.2">
      <c r="A195" s="79">
        <v>500312</v>
      </c>
      <c r="B195" s="77" t="s">
        <v>637</v>
      </c>
      <c r="C195" s="77" t="s">
        <v>638</v>
      </c>
      <c r="D195" s="78">
        <v>7.4033300000000004</v>
      </c>
      <c r="E195" s="77" t="s">
        <v>1775</v>
      </c>
      <c r="F195" s="77" t="s">
        <v>75</v>
      </c>
      <c r="G195" s="77" t="s">
        <v>1826</v>
      </c>
    </row>
    <row r="196" spans="1:7" ht="48" x14ac:dyDescent="0.2">
      <c r="A196" s="79">
        <v>501119</v>
      </c>
      <c r="B196" s="77" t="s">
        <v>679</v>
      </c>
      <c r="C196" s="77" t="s">
        <v>1839</v>
      </c>
      <c r="D196" s="78">
        <v>4.95</v>
      </c>
      <c r="E196" s="77" t="s">
        <v>1775</v>
      </c>
      <c r="F196" s="77" t="s">
        <v>1833</v>
      </c>
      <c r="G196" s="77" t="s">
        <v>1838</v>
      </c>
    </row>
    <row r="197" spans="1:7" ht="48" x14ac:dyDescent="0.2">
      <c r="A197" s="79">
        <v>502009</v>
      </c>
      <c r="B197" s="77" t="s">
        <v>688</v>
      </c>
      <c r="C197" s="77" t="s">
        <v>689</v>
      </c>
      <c r="D197" s="78">
        <v>3.5466000000000002</v>
      </c>
      <c r="E197" s="77" t="s">
        <v>1775</v>
      </c>
      <c r="F197" s="77" t="s">
        <v>1833</v>
      </c>
      <c r="G197" s="77" t="s">
        <v>1838</v>
      </c>
    </row>
    <row r="198" spans="1:7" ht="48" x14ac:dyDescent="0.2">
      <c r="A198" s="79">
        <v>500123</v>
      </c>
      <c r="B198" s="77" t="s">
        <v>716</v>
      </c>
      <c r="C198" s="77" t="s">
        <v>717</v>
      </c>
      <c r="D198" s="78">
        <v>2.2584</v>
      </c>
      <c r="E198" s="77" t="s">
        <v>1775</v>
      </c>
      <c r="F198" s="77" t="s">
        <v>1833</v>
      </c>
      <c r="G198" s="77" t="s">
        <v>1838</v>
      </c>
    </row>
    <row r="199" spans="1:7" ht="48" x14ac:dyDescent="0.2">
      <c r="A199" s="79">
        <v>501087</v>
      </c>
      <c r="B199" s="77" t="s">
        <v>758</v>
      </c>
      <c r="C199" s="77" t="s">
        <v>1839</v>
      </c>
      <c r="D199" s="78">
        <v>1.0469999999999999</v>
      </c>
      <c r="E199" s="77" t="s">
        <v>1775</v>
      </c>
      <c r="F199" s="77" t="s">
        <v>1833</v>
      </c>
      <c r="G199" s="77" t="s">
        <v>1838</v>
      </c>
    </row>
    <row r="200" spans="1:7" ht="48" x14ac:dyDescent="0.2">
      <c r="A200" s="79">
        <v>500797</v>
      </c>
      <c r="B200" s="77" t="s">
        <v>771</v>
      </c>
      <c r="C200" s="77" t="s">
        <v>772</v>
      </c>
      <c r="D200" s="78">
        <v>0.71879999999999999</v>
      </c>
      <c r="E200" s="77" t="s">
        <v>1775</v>
      </c>
      <c r="F200" s="77" t="s">
        <v>1833</v>
      </c>
      <c r="G200" s="77" t="s">
        <v>1838</v>
      </c>
    </row>
    <row r="201" spans="1:7" ht="48" x14ac:dyDescent="0.2">
      <c r="A201" s="79">
        <v>500795</v>
      </c>
      <c r="B201" s="77" t="s">
        <v>779</v>
      </c>
      <c r="C201" s="77" t="s">
        <v>780</v>
      </c>
      <c r="D201" s="78">
        <v>0.51671999999999996</v>
      </c>
      <c r="E201" s="77" t="s">
        <v>1775</v>
      </c>
      <c r="F201" s="77" t="s">
        <v>1833</v>
      </c>
      <c r="G201" s="77" t="s">
        <v>1838</v>
      </c>
    </row>
    <row r="202" spans="1:7" ht="48" x14ac:dyDescent="0.2">
      <c r="A202" s="79">
        <v>501142</v>
      </c>
      <c r="B202" s="77" t="s">
        <v>781</v>
      </c>
      <c r="C202" s="77" t="s">
        <v>782</v>
      </c>
      <c r="D202" s="78">
        <v>0.49</v>
      </c>
      <c r="E202" s="77" t="s">
        <v>1775</v>
      </c>
      <c r="F202" s="77" t="s">
        <v>1833</v>
      </c>
      <c r="G202" s="77" t="s">
        <v>1838</v>
      </c>
    </row>
    <row r="203" spans="1:7" ht="48" x14ac:dyDescent="0.2">
      <c r="A203" s="79">
        <v>500744</v>
      </c>
      <c r="B203" s="77" t="s">
        <v>783</v>
      </c>
      <c r="C203" s="77" t="s">
        <v>784</v>
      </c>
      <c r="D203" s="78">
        <v>0.4788</v>
      </c>
      <c r="E203" s="77" t="s">
        <v>1775</v>
      </c>
      <c r="F203" s="77" t="s">
        <v>1833</v>
      </c>
      <c r="G203" s="77" t="s">
        <v>1838</v>
      </c>
    </row>
    <row r="204" spans="1:7" ht="32" x14ac:dyDescent="0.2">
      <c r="A204" s="79">
        <v>501224</v>
      </c>
      <c r="B204" s="77" t="s">
        <v>791</v>
      </c>
      <c r="C204" s="77" t="s">
        <v>792</v>
      </c>
      <c r="D204" s="78">
        <v>0.38400000000000001</v>
      </c>
      <c r="E204" s="77" t="s">
        <v>1775</v>
      </c>
      <c r="F204" s="77" t="s">
        <v>1745</v>
      </c>
      <c r="G204" s="77" t="s">
        <v>1825</v>
      </c>
    </row>
    <row r="205" spans="1:7" ht="48" x14ac:dyDescent="0.2">
      <c r="A205" s="79">
        <v>500743</v>
      </c>
      <c r="B205" s="77" t="s">
        <v>793</v>
      </c>
      <c r="C205" s="77" t="s">
        <v>794</v>
      </c>
      <c r="D205" s="78">
        <v>0.35596</v>
      </c>
      <c r="E205" s="77" t="s">
        <v>1775</v>
      </c>
      <c r="F205" s="77" t="s">
        <v>1833</v>
      </c>
      <c r="G205" s="77" t="s">
        <v>1838</v>
      </c>
    </row>
    <row r="206" spans="1:7" ht="48" x14ac:dyDescent="0.2">
      <c r="A206" s="79">
        <v>500742</v>
      </c>
      <c r="B206" s="77" t="s">
        <v>795</v>
      </c>
      <c r="C206" s="77" t="s">
        <v>796</v>
      </c>
      <c r="D206" s="78">
        <v>0.33076</v>
      </c>
      <c r="E206" s="77" t="s">
        <v>1775</v>
      </c>
      <c r="F206" s="77" t="s">
        <v>1833</v>
      </c>
      <c r="G206" s="77" t="s">
        <v>1838</v>
      </c>
    </row>
    <row r="207" spans="1:7" ht="48" x14ac:dyDescent="0.2">
      <c r="A207" s="79">
        <v>501103</v>
      </c>
      <c r="B207" s="77" t="s">
        <v>797</v>
      </c>
      <c r="C207" s="77" t="s">
        <v>1839</v>
      </c>
      <c r="D207" s="78">
        <v>0.3</v>
      </c>
      <c r="E207" s="77" t="s">
        <v>1775</v>
      </c>
      <c r="F207" s="77" t="s">
        <v>1833</v>
      </c>
      <c r="G207" s="77" t="s">
        <v>1838</v>
      </c>
    </row>
    <row r="208" spans="1:7" ht="48" x14ac:dyDescent="0.2">
      <c r="A208" s="79">
        <v>500741</v>
      </c>
      <c r="B208" s="77" t="s">
        <v>798</v>
      </c>
      <c r="C208" s="77" t="s">
        <v>799</v>
      </c>
      <c r="D208" s="78">
        <v>0.252</v>
      </c>
      <c r="E208" s="77" t="s">
        <v>1775</v>
      </c>
      <c r="F208" s="77" t="s">
        <v>1833</v>
      </c>
      <c r="G208" s="77" t="s">
        <v>1838</v>
      </c>
    </row>
    <row r="209" spans="1:7" ht="48" x14ac:dyDescent="0.2">
      <c r="A209" s="79">
        <v>500739</v>
      </c>
      <c r="B209" s="77" t="s">
        <v>800</v>
      </c>
      <c r="C209" s="77" t="s">
        <v>801</v>
      </c>
      <c r="D209" s="78">
        <v>0.252</v>
      </c>
      <c r="E209" s="77" t="s">
        <v>1775</v>
      </c>
      <c r="F209" s="77" t="s">
        <v>1833</v>
      </c>
      <c r="G209" s="77" t="s">
        <v>1838</v>
      </c>
    </row>
    <row r="210" spans="1:7" ht="48" x14ac:dyDescent="0.2">
      <c r="A210" s="79">
        <v>500737</v>
      </c>
      <c r="B210" s="77" t="s">
        <v>808</v>
      </c>
      <c r="C210" s="77" t="s">
        <v>809</v>
      </c>
      <c r="D210" s="78">
        <v>0.126</v>
      </c>
      <c r="E210" s="77" t="s">
        <v>1775</v>
      </c>
      <c r="F210" s="77" t="s">
        <v>1833</v>
      </c>
      <c r="G210" s="77" t="s">
        <v>1838</v>
      </c>
    </row>
    <row r="211" spans="1:7" ht="48" x14ac:dyDescent="0.2">
      <c r="A211" s="79">
        <v>500740</v>
      </c>
      <c r="B211" s="77" t="s">
        <v>810</v>
      </c>
      <c r="C211" s="77" t="s">
        <v>811</v>
      </c>
      <c r="D211" s="78">
        <v>0.126</v>
      </c>
      <c r="E211" s="77" t="s">
        <v>1775</v>
      </c>
      <c r="F211" s="77" t="s">
        <v>1833</v>
      </c>
      <c r="G211" s="77" t="s">
        <v>1838</v>
      </c>
    </row>
    <row r="212" spans="1:7" ht="48" x14ac:dyDescent="0.2">
      <c r="A212" s="79" t="s">
        <v>1839</v>
      </c>
      <c r="B212" s="77" t="s">
        <v>812</v>
      </c>
      <c r="C212" s="77" t="s">
        <v>1839</v>
      </c>
      <c r="D212" s="78">
        <v>0.1176</v>
      </c>
      <c r="E212" s="77" t="s">
        <v>1775</v>
      </c>
      <c r="F212" s="77" t="s">
        <v>1833</v>
      </c>
      <c r="G212" s="77" t="s">
        <v>1838</v>
      </c>
    </row>
    <row r="213" spans="1:7" ht="48" x14ac:dyDescent="0.2">
      <c r="A213" s="79">
        <v>500738</v>
      </c>
      <c r="B213" s="77" t="s">
        <v>813</v>
      </c>
      <c r="C213" s="77" t="s">
        <v>814</v>
      </c>
      <c r="D213" s="78">
        <v>0.10396</v>
      </c>
      <c r="E213" s="77" t="s">
        <v>1775</v>
      </c>
      <c r="F213" s="77" t="s">
        <v>1833</v>
      </c>
      <c r="G213" s="77" t="s">
        <v>1838</v>
      </c>
    </row>
    <row r="214" spans="1:7" ht="32" x14ac:dyDescent="0.2">
      <c r="A214" s="79">
        <v>500994</v>
      </c>
      <c r="B214" s="77" t="s">
        <v>172</v>
      </c>
      <c r="C214" s="77" t="s">
        <v>173</v>
      </c>
      <c r="D214" s="78">
        <v>699.54228000000001</v>
      </c>
      <c r="E214" s="77" t="s">
        <v>1777</v>
      </c>
      <c r="F214" s="77" t="s">
        <v>75</v>
      </c>
      <c r="G214" s="77" t="s">
        <v>1829</v>
      </c>
    </row>
    <row r="215" spans="1:7" ht="32" x14ac:dyDescent="0.2">
      <c r="A215" s="79">
        <v>500004</v>
      </c>
      <c r="B215" s="77" t="s">
        <v>283</v>
      </c>
      <c r="C215" s="77" t="s">
        <v>284</v>
      </c>
      <c r="D215" s="78">
        <v>304.91644000000002</v>
      </c>
      <c r="E215" s="77" t="s">
        <v>1777</v>
      </c>
      <c r="F215" s="77" t="s">
        <v>1745</v>
      </c>
      <c r="G215" s="77" t="s">
        <v>1828</v>
      </c>
    </row>
    <row r="216" spans="1:7" ht="32" x14ac:dyDescent="0.2">
      <c r="A216" s="79">
        <v>500612</v>
      </c>
      <c r="B216" s="77" t="s">
        <v>303</v>
      </c>
      <c r="C216" s="77" t="s">
        <v>304</v>
      </c>
      <c r="D216" s="78">
        <v>230.13964999999999</v>
      </c>
      <c r="E216" s="77" t="s">
        <v>1777</v>
      </c>
      <c r="F216" s="77" t="s">
        <v>75</v>
      </c>
      <c r="G216" s="77" t="s">
        <v>1829</v>
      </c>
    </row>
    <row r="217" spans="1:7" ht="32" x14ac:dyDescent="0.2">
      <c r="A217" s="79">
        <v>500669</v>
      </c>
      <c r="B217" s="77" t="s">
        <v>323</v>
      </c>
      <c r="C217" s="77" t="s">
        <v>324</v>
      </c>
      <c r="D217" s="78">
        <v>194.46674999999999</v>
      </c>
      <c r="E217" s="77" t="s">
        <v>1777</v>
      </c>
      <c r="F217" s="77" t="s">
        <v>1745</v>
      </c>
      <c r="G217" s="77" t="s">
        <v>1828</v>
      </c>
    </row>
    <row r="218" spans="1:7" ht="48" x14ac:dyDescent="0.2">
      <c r="A218" s="79">
        <v>500126</v>
      </c>
      <c r="B218" s="77" t="s">
        <v>372</v>
      </c>
      <c r="C218" s="77" t="s">
        <v>373</v>
      </c>
      <c r="D218" s="78">
        <v>139.16334000000001</v>
      </c>
      <c r="E218" s="77" t="s">
        <v>1777</v>
      </c>
      <c r="F218" s="77" t="s">
        <v>1833</v>
      </c>
      <c r="G218" s="77" t="s">
        <v>1840</v>
      </c>
    </row>
    <row r="219" spans="1:7" ht="48" x14ac:dyDescent="0.2">
      <c r="A219" s="79">
        <v>500610</v>
      </c>
      <c r="B219" s="77" t="s">
        <v>403</v>
      </c>
      <c r="C219" s="77" t="s">
        <v>404</v>
      </c>
      <c r="D219" s="78">
        <v>96.5</v>
      </c>
      <c r="E219" s="77" t="s">
        <v>1777</v>
      </c>
      <c r="F219" s="77" t="s">
        <v>1833</v>
      </c>
      <c r="G219" s="77" t="s">
        <v>1840</v>
      </c>
    </row>
    <row r="220" spans="1:7" ht="32" x14ac:dyDescent="0.2">
      <c r="A220" s="79">
        <v>500034</v>
      </c>
      <c r="B220" s="77" t="s">
        <v>415</v>
      </c>
      <c r="C220" s="77" t="s">
        <v>416</v>
      </c>
      <c r="D220" s="78">
        <v>90.880669999999995</v>
      </c>
      <c r="E220" s="77" t="s">
        <v>1777</v>
      </c>
      <c r="F220" s="77" t="s">
        <v>1745</v>
      </c>
      <c r="G220" s="77" t="s">
        <v>1828</v>
      </c>
    </row>
    <row r="221" spans="1:7" ht="32" x14ac:dyDescent="0.2">
      <c r="A221" s="79">
        <v>510000</v>
      </c>
      <c r="B221" s="77" t="s">
        <v>444</v>
      </c>
      <c r="C221" s="77" t="s">
        <v>445</v>
      </c>
      <c r="D221" s="78">
        <v>76.191760000000002</v>
      </c>
      <c r="E221" s="77" t="s">
        <v>1777</v>
      </c>
      <c r="F221" s="77" t="s">
        <v>1745</v>
      </c>
      <c r="G221" s="77" t="s">
        <v>1828</v>
      </c>
    </row>
    <row r="222" spans="1:7" ht="48" x14ac:dyDescent="0.2">
      <c r="A222" s="79">
        <v>500135</v>
      </c>
      <c r="B222" s="77" t="s">
        <v>482</v>
      </c>
      <c r="C222" s="77" t="s">
        <v>483</v>
      </c>
      <c r="D222" s="78">
        <v>51.276629999999997</v>
      </c>
      <c r="E222" s="77" t="s">
        <v>1777</v>
      </c>
      <c r="F222" s="77" t="s">
        <v>1833</v>
      </c>
      <c r="G222" s="77" t="s">
        <v>1840</v>
      </c>
    </row>
    <row r="223" spans="1:7" ht="48" x14ac:dyDescent="0.2">
      <c r="A223" s="79">
        <v>500746</v>
      </c>
      <c r="B223" s="77" t="s">
        <v>512</v>
      </c>
      <c r="C223" s="77" t="s">
        <v>513</v>
      </c>
      <c r="D223" s="78">
        <v>36.911549999999998</v>
      </c>
      <c r="E223" s="77" t="s">
        <v>1777</v>
      </c>
      <c r="F223" s="77" t="s">
        <v>1833</v>
      </c>
      <c r="G223" s="77" t="s">
        <v>1840</v>
      </c>
    </row>
    <row r="224" spans="1:7" ht="32" x14ac:dyDescent="0.2">
      <c r="A224" s="79">
        <v>500606</v>
      </c>
      <c r="B224" s="77" t="s">
        <v>540</v>
      </c>
      <c r="C224" s="77" t="s">
        <v>541</v>
      </c>
      <c r="D224" s="78">
        <v>25.92118</v>
      </c>
      <c r="E224" s="77" t="s">
        <v>1777</v>
      </c>
      <c r="F224" s="77" t="s">
        <v>75</v>
      </c>
      <c r="G224" s="77" t="s">
        <v>1829</v>
      </c>
    </row>
    <row r="225" spans="1:7" ht="48" x14ac:dyDescent="0.2">
      <c r="A225" s="79">
        <v>500060</v>
      </c>
      <c r="B225" s="77" t="s">
        <v>570</v>
      </c>
      <c r="C225" s="77" t="s">
        <v>571</v>
      </c>
      <c r="D225" s="78">
        <v>19.664549999999998</v>
      </c>
      <c r="E225" s="77" t="s">
        <v>1777</v>
      </c>
      <c r="F225" s="77" t="s">
        <v>1833</v>
      </c>
      <c r="G225" s="77" t="s">
        <v>1840</v>
      </c>
    </row>
    <row r="226" spans="1:7" ht="48" x14ac:dyDescent="0.2">
      <c r="A226" s="79">
        <v>500910</v>
      </c>
      <c r="B226" s="77" t="s">
        <v>598</v>
      </c>
      <c r="C226" s="77" t="s">
        <v>599</v>
      </c>
      <c r="D226" s="78">
        <v>11.3758</v>
      </c>
      <c r="E226" s="77" t="s">
        <v>1777</v>
      </c>
      <c r="F226" s="77" t="s">
        <v>1833</v>
      </c>
      <c r="G226" s="77" t="s">
        <v>1840</v>
      </c>
    </row>
    <row r="227" spans="1:7" ht="48" x14ac:dyDescent="0.2">
      <c r="A227" s="79">
        <v>500754</v>
      </c>
      <c r="B227" s="77" t="s">
        <v>600</v>
      </c>
      <c r="C227" s="77" t="s">
        <v>601</v>
      </c>
      <c r="D227" s="78">
        <v>11.1921</v>
      </c>
      <c r="E227" s="77" t="s">
        <v>1777</v>
      </c>
      <c r="F227" s="77" t="s">
        <v>1833</v>
      </c>
      <c r="G227" s="77" t="s">
        <v>1840</v>
      </c>
    </row>
    <row r="228" spans="1:7" ht="48" x14ac:dyDescent="0.2">
      <c r="A228" s="79">
        <v>500915</v>
      </c>
      <c r="B228" s="77" t="s">
        <v>602</v>
      </c>
      <c r="C228" s="77" t="s">
        <v>603</v>
      </c>
      <c r="D228" s="78">
        <v>10.825699999999999</v>
      </c>
      <c r="E228" s="77" t="s">
        <v>1777</v>
      </c>
      <c r="F228" s="77" t="s">
        <v>1833</v>
      </c>
      <c r="G228" s="77" t="s">
        <v>1840</v>
      </c>
    </row>
    <row r="229" spans="1:7" ht="32" x14ac:dyDescent="0.2">
      <c r="A229" s="79">
        <v>500690</v>
      </c>
      <c r="B229" s="77" t="s">
        <v>616</v>
      </c>
      <c r="C229" s="77" t="s">
        <v>617</v>
      </c>
      <c r="D229" s="78">
        <v>8.9324999999999992</v>
      </c>
      <c r="E229" s="77" t="s">
        <v>1777</v>
      </c>
      <c r="F229" s="77" t="s">
        <v>75</v>
      </c>
      <c r="G229" s="77" t="s">
        <v>1829</v>
      </c>
    </row>
    <row r="230" spans="1:7" ht="48" x14ac:dyDescent="0.2">
      <c r="A230" s="79">
        <v>500914</v>
      </c>
      <c r="B230" s="77" t="s">
        <v>621</v>
      </c>
      <c r="C230" s="77" t="s">
        <v>622</v>
      </c>
      <c r="D230" s="78">
        <v>8.0741499999999995</v>
      </c>
      <c r="E230" s="77" t="s">
        <v>1777</v>
      </c>
      <c r="F230" s="77" t="s">
        <v>1833</v>
      </c>
      <c r="G230" s="77" t="s">
        <v>1840</v>
      </c>
    </row>
    <row r="231" spans="1:7" ht="48" x14ac:dyDescent="0.2">
      <c r="A231" s="79">
        <v>500061</v>
      </c>
      <c r="B231" s="77" t="s">
        <v>623</v>
      </c>
      <c r="C231" s="77" t="s">
        <v>624</v>
      </c>
      <c r="D231" s="78">
        <v>8.0673499999999994</v>
      </c>
      <c r="E231" s="77" t="s">
        <v>1777</v>
      </c>
      <c r="F231" s="77" t="s">
        <v>1833</v>
      </c>
      <c r="G231" s="77" t="s">
        <v>1840</v>
      </c>
    </row>
    <row r="232" spans="1:7" ht="48" x14ac:dyDescent="0.2">
      <c r="A232" s="79">
        <v>500067</v>
      </c>
      <c r="B232" s="77" t="s">
        <v>627</v>
      </c>
      <c r="C232" s="77" t="s">
        <v>628</v>
      </c>
      <c r="D232" s="78">
        <v>7.8641699999999997</v>
      </c>
      <c r="E232" s="77" t="s">
        <v>1777</v>
      </c>
      <c r="F232" s="77" t="s">
        <v>1833</v>
      </c>
      <c r="G232" s="77" t="s">
        <v>1840</v>
      </c>
    </row>
    <row r="233" spans="1:7" ht="32" x14ac:dyDescent="0.2">
      <c r="A233" s="79">
        <v>501171</v>
      </c>
      <c r="B233" s="77" t="s">
        <v>629</v>
      </c>
      <c r="C233" s="77" t="s">
        <v>630</v>
      </c>
      <c r="D233" s="78">
        <v>7.7965</v>
      </c>
      <c r="E233" s="77" t="s">
        <v>1777</v>
      </c>
      <c r="F233" s="77" t="s">
        <v>1745</v>
      </c>
      <c r="G233" s="77" t="s">
        <v>1828</v>
      </c>
    </row>
    <row r="234" spans="1:7" ht="48" x14ac:dyDescent="0.2">
      <c r="A234" s="79">
        <v>500066</v>
      </c>
      <c r="B234" s="77" t="s">
        <v>631</v>
      </c>
      <c r="C234" s="77" t="s">
        <v>632</v>
      </c>
      <c r="D234" s="78">
        <v>7.6017099999999997</v>
      </c>
      <c r="E234" s="77" t="s">
        <v>1777</v>
      </c>
      <c r="F234" s="77" t="s">
        <v>1833</v>
      </c>
      <c r="G234" s="77" t="s">
        <v>1840</v>
      </c>
    </row>
    <row r="235" spans="1:7" ht="32" x14ac:dyDescent="0.2">
      <c r="A235" s="79">
        <v>500839</v>
      </c>
      <c r="B235" s="77" t="s">
        <v>641</v>
      </c>
      <c r="C235" s="77" t="s">
        <v>642</v>
      </c>
      <c r="D235" s="78">
        <v>7.2018000000000004</v>
      </c>
      <c r="E235" s="77" t="s">
        <v>1777</v>
      </c>
      <c r="F235" s="77" t="s">
        <v>1745</v>
      </c>
      <c r="G235" s="77" t="s">
        <v>1828</v>
      </c>
    </row>
    <row r="236" spans="1:7" ht="32" x14ac:dyDescent="0.2">
      <c r="A236" s="79">
        <v>501104</v>
      </c>
      <c r="B236" s="77" t="s">
        <v>643</v>
      </c>
      <c r="C236" s="77" t="s">
        <v>644</v>
      </c>
      <c r="D236" s="78">
        <v>6.82</v>
      </c>
      <c r="E236" s="77" t="s">
        <v>1777</v>
      </c>
      <c r="F236" s="77" t="s">
        <v>1745</v>
      </c>
      <c r="G236" s="77" t="s">
        <v>1828</v>
      </c>
    </row>
    <row r="237" spans="1:7" ht="48" x14ac:dyDescent="0.2">
      <c r="A237" s="79">
        <v>500913</v>
      </c>
      <c r="B237" s="77" t="s">
        <v>645</v>
      </c>
      <c r="C237" s="77" t="s">
        <v>646</v>
      </c>
      <c r="D237" s="78">
        <v>6.76675</v>
      </c>
      <c r="E237" s="77" t="s">
        <v>1777</v>
      </c>
      <c r="F237" s="77" t="s">
        <v>1833</v>
      </c>
      <c r="G237" s="77" t="s">
        <v>1840</v>
      </c>
    </row>
    <row r="238" spans="1:7" ht="48" x14ac:dyDescent="0.2">
      <c r="A238" s="79">
        <v>500625</v>
      </c>
      <c r="B238" s="77" t="s">
        <v>665</v>
      </c>
      <c r="C238" s="77" t="s">
        <v>666</v>
      </c>
      <c r="D238" s="78">
        <v>5.8872799999999996</v>
      </c>
      <c r="E238" s="77" t="s">
        <v>1777</v>
      </c>
      <c r="F238" s="77" t="s">
        <v>1833</v>
      </c>
      <c r="G238" s="77" t="s">
        <v>1840</v>
      </c>
    </row>
    <row r="239" spans="1:7" ht="48" x14ac:dyDescent="0.2">
      <c r="A239" s="79">
        <v>500909</v>
      </c>
      <c r="B239" s="77" t="s">
        <v>667</v>
      </c>
      <c r="C239" s="77" t="s">
        <v>668</v>
      </c>
      <c r="D239" s="78">
        <v>5.6471999999999998</v>
      </c>
      <c r="E239" s="77" t="s">
        <v>1777</v>
      </c>
      <c r="F239" s="77" t="s">
        <v>1833</v>
      </c>
      <c r="G239" s="77" t="s">
        <v>1840</v>
      </c>
    </row>
    <row r="240" spans="1:7" ht="48" x14ac:dyDescent="0.2">
      <c r="A240" s="79">
        <v>500065</v>
      </c>
      <c r="B240" s="77" t="s">
        <v>675</v>
      </c>
      <c r="C240" s="77" t="s">
        <v>676</v>
      </c>
      <c r="D240" s="78">
        <v>5.3597999999999999</v>
      </c>
      <c r="E240" s="77" t="s">
        <v>1777</v>
      </c>
      <c r="F240" s="77" t="s">
        <v>1833</v>
      </c>
      <c r="G240" s="77" t="s">
        <v>1840</v>
      </c>
    </row>
    <row r="241" spans="1:7" ht="32" x14ac:dyDescent="0.2">
      <c r="A241" s="79">
        <v>500013</v>
      </c>
      <c r="B241" s="77" t="s">
        <v>686</v>
      </c>
      <c r="C241" s="77" t="s">
        <v>687</v>
      </c>
      <c r="D241" s="78">
        <v>3.6516099999999998</v>
      </c>
      <c r="E241" s="77" t="s">
        <v>1777</v>
      </c>
      <c r="F241" s="77" t="s">
        <v>1745</v>
      </c>
      <c r="G241" s="77" t="s">
        <v>1828</v>
      </c>
    </row>
    <row r="242" spans="1:7" ht="32" x14ac:dyDescent="0.2">
      <c r="A242" s="79">
        <v>500670</v>
      </c>
      <c r="B242" s="77" t="s">
        <v>692</v>
      </c>
      <c r="C242" s="77" t="s">
        <v>693</v>
      </c>
      <c r="D242" s="78">
        <v>3.4575</v>
      </c>
      <c r="E242" s="77" t="s">
        <v>1777</v>
      </c>
      <c r="F242" s="77" t="s">
        <v>1745</v>
      </c>
      <c r="G242" s="77" t="s">
        <v>1828</v>
      </c>
    </row>
    <row r="243" spans="1:7" ht="32" x14ac:dyDescent="0.2">
      <c r="A243" s="79">
        <v>500112</v>
      </c>
      <c r="B243" s="77" t="s">
        <v>704</v>
      </c>
      <c r="C243" s="77" t="s">
        <v>705</v>
      </c>
      <c r="D243" s="78">
        <v>2.7186900000000001</v>
      </c>
      <c r="E243" s="77" t="s">
        <v>1777</v>
      </c>
      <c r="F243" s="77" t="s">
        <v>1745</v>
      </c>
      <c r="G243" s="77" t="s">
        <v>1828</v>
      </c>
    </row>
    <row r="244" spans="1:7" ht="32" x14ac:dyDescent="0.2">
      <c r="A244" s="79">
        <v>500184</v>
      </c>
      <c r="B244" s="77" t="s">
        <v>708</v>
      </c>
      <c r="C244" s="77" t="s">
        <v>709</v>
      </c>
      <c r="D244" s="78">
        <v>2.52495</v>
      </c>
      <c r="E244" s="77" t="s">
        <v>1777</v>
      </c>
      <c r="F244" s="77" t="s">
        <v>1745</v>
      </c>
      <c r="G244" s="77" t="s">
        <v>1828</v>
      </c>
    </row>
    <row r="245" spans="1:7" ht="48" x14ac:dyDescent="0.2">
      <c r="A245" s="79">
        <v>500069</v>
      </c>
      <c r="B245" s="77" t="s">
        <v>712</v>
      </c>
      <c r="C245" s="77" t="s">
        <v>713</v>
      </c>
      <c r="D245" s="78">
        <v>2.4471799999999999</v>
      </c>
      <c r="E245" s="77" t="s">
        <v>1777</v>
      </c>
      <c r="F245" s="77" t="s">
        <v>1833</v>
      </c>
      <c r="G245" s="77" t="s">
        <v>1840</v>
      </c>
    </row>
    <row r="246" spans="1:7" ht="48" x14ac:dyDescent="0.2">
      <c r="A246" s="79">
        <v>500062</v>
      </c>
      <c r="B246" s="77" t="s">
        <v>720</v>
      </c>
      <c r="C246" s="77" t="s">
        <v>721</v>
      </c>
      <c r="D246" s="78">
        <v>2.1718199999999999</v>
      </c>
      <c r="E246" s="77" t="s">
        <v>1777</v>
      </c>
      <c r="F246" s="77" t="s">
        <v>1833</v>
      </c>
      <c r="G246" s="77" t="s">
        <v>1840</v>
      </c>
    </row>
    <row r="247" spans="1:7" ht="48" x14ac:dyDescent="0.2">
      <c r="A247" s="79">
        <v>500908</v>
      </c>
      <c r="B247" s="77" t="s">
        <v>726</v>
      </c>
      <c r="C247" s="77" t="s">
        <v>727</v>
      </c>
      <c r="D247" s="78">
        <v>2.052</v>
      </c>
      <c r="E247" s="77" t="s">
        <v>1777</v>
      </c>
      <c r="F247" s="77" t="s">
        <v>1833</v>
      </c>
      <c r="G247" s="77" t="s">
        <v>1840</v>
      </c>
    </row>
    <row r="248" spans="1:7" ht="48" x14ac:dyDescent="0.2">
      <c r="A248" s="79">
        <v>500091</v>
      </c>
      <c r="B248" s="77" t="s">
        <v>728</v>
      </c>
      <c r="C248" s="77" t="s">
        <v>729</v>
      </c>
      <c r="D248" s="78">
        <v>1.9227799999999999</v>
      </c>
      <c r="E248" s="77" t="s">
        <v>1777</v>
      </c>
      <c r="F248" s="77" t="s">
        <v>1833</v>
      </c>
      <c r="G248" s="77" t="s">
        <v>1840</v>
      </c>
    </row>
    <row r="249" spans="1:7" ht="48" x14ac:dyDescent="0.2">
      <c r="A249" s="79">
        <v>500087</v>
      </c>
      <c r="B249" s="77" t="s">
        <v>732</v>
      </c>
      <c r="C249" s="77" t="s">
        <v>733</v>
      </c>
      <c r="D249" s="78">
        <v>1.8321000000000001</v>
      </c>
      <c r="E249" s="77" t="s">
        <v>1777</v>
      </c>
      <c r="F249" s="77" t="s">
        <v>1833</v>
      </c>
      <c r="G249" s="77" t="s">
        <v>1840</v>
      </c>
    </row>
    <row r="250" spans="1:7" ht="48" x14ac:dyDescent="0.2">
      <c r="A250" s="79">
        <v>500916</v>
      </c>
      <c r="B250" s="77" t="s">
        <v>736</v>
      </c>
      <c r="C250" s="77" t="s">
        <v>737</v>
      </c>
      <c r="D250" s="78">
        <v>1.8109</v>
      </c>
      <c r="E250" s="77" t="s">
        <v>1777</v>
      </c>
      <c r="F250" s="77" t="s">
        <v>1833</v>
      </c>
      <c r="G250" s="77" t="s">
        <v>1840</v>
      </c>
    </row>
    <row r="251" spans="1:7" ht="48" x14ac:dyDescent="0.2">
      <c r="A251" s="79">
        <v>500089</v>
      </c>
      <c r="B251" s="77" t="s">
        <v>738</v>
      </c>
      <c r="C251" s="77" t="s">
        <v>739</v>
      </c>
      <c r="D251" s="78">
        <v>1.70888</v>
      </c>
      <c r="E251" s="77" t="s">
        <v>1777</v>
      </c>
      <c r="F251" s="77" t="s">
        <v>1833</v>
      </c>
      <c r="G251" s="77" t="s">
        <v>1840</v>
      </c>
    </row>
    <row r="252" spans="1:7" ht="48" x14ac:dyDescent="0.2">
      <c r="A252" s="79">
        <v>500086</v>
      </c>
      <c r="B252" s="77" t="s">
        <v>744</v>
      </c>
      <c r="C252" s="77" t="s">
        <v>745</v>
      </c>
      <c r="D252" s="78">
        <v>1.60398</v>
      </c>
      <c r="E252" s="77" t="s">
        <v>1777</v>
      </c>
      <c r="F252" s="77" t="s">
        <v>1833</v>
      </c>
      <c r="G252" s="77" t="s">
        <v>1840</v>
      </c>
    </row>
    <row r="253" spans="1:7" ht="48" x14ac:dyDescent="0.2">
      <c r="A253" s="79">
        <v>500068</v>
      </c>
      <c r="B253" s="77" t="s">
        <v>746</v>
      </c>
      <c r="C253" s="77" t="s">
        <v>747</v>
      </c>
      <c r="D253" s="78">
        <v>1.57691</v>
      </c>
      <c r="E253" s="77" t="s">
        <v>1777</v>
      </c>
      <c r="F253" s="77" t="s">
        <v>1833</v>
      </c>
      <c r="G253" s="77" t="s">
        <v>1840</v>
      </c>
    </row>
    <row r="254" spans="1:7" ht="48" x14ac:dyDescent="0.2">
      <c r="A254" s="79">
        <v>500912</v>
      </c>
      <c r="B254" s="77" t="s">
        <v>759</v>
      </c>
      <c r="C254" s="77" t="s">
        <v>760</v>
      </c>
      <c r="D254" s="78">
        <v>1.032</v>
      </c>
      <c r="E254" s="77" t="s">
        <v>1777</v>
      </c>
      <c r="F254" s="77" t="s">
        <v>1833</v>
      </c>
      <c r="G254" s="77" t="s">
        <v>1840</v>
      </c>
    </row>
    <row r="255" spans="1:7" ht="48" x14ac:dyDescent="0.2">
      <c r="A255" s="79">
        <v>500070</v>
      </c>
      <c r="B255" s="77" t="s">
        <v>763</v>
      </c>
      <c r="C255" s="77" t="s">
        <v>764</v>
      </c>
      <c r="D255" s="78">
        <v>0.87833000000000006</v>
      </c>
      <c r="E255" s="77" t="s">
        <v>1777</v>
      </c>
      <c r="F255" s="77" t="s">
        <v>1833</v>
      </c>
      <c r="G255" s="77" t="s">
        <v>1840</v>
      </c>
    </row>
    <row r="256" spans="1:7" ht="48" x14ac:dyDescent="0.2">
      <c r="A256" s="79">
        <v>500090</v>
      </c>
      <c r="B256" s="77" t="s">
        <v>765</v>
      </c>
      <c r="C256" s="77" t="s">
        <v>766</v>
      </c>
      <c r="D256" s="78">
        <v>0.83699999999999997</v>
      </c>
      <c r="E256" s="77" t="s">
        <v>1777</v>
      </c>
      <c r="F256" s="77" t="s">
        <v>1833</v>
      </c>
      <c r="G256" s="77" t="s">
        <v>1840</v>
      </c>
    </row>
    <row r="257" spans="1:7" ht="48" x14ac:dyDescent="0.2">
      <c r="A257" s="79">
        <v>500064</v>
      </c>
      <c r="B257" s="77" t="s">
        <v>769</v>
      </c>
      <c r="C257" s="77" t="s">
        <v>770</v>
      </c>
      <c r="D257" s="78">
        <v>0.72299999999999998</v>
      </c>
      <c r="E257" s="77" t="s">
        <v>1777</v>
      </c>
      <c r="F257" s="77" t="s">
        <v>1833</v>
      </c>
      <c r="G257" s="77" t="s">
        <v>1840</v>
      </c>
    </row>
    <row r="258" spans="1:7" ht="48" x14ac:dyDescent="0.2">
      <c r="A258" s="79">
        <v>501003</v>
      </c>
      <c r="B258" s="77" t="s">
        <v>773</v>
      </c>
      <c r="C258" s="77" t="s">
        <v>774</v>
      </c>
      <c r="D258" s="78">
        <v>0.61560000000000004</v>
      </c>
      <c r="E258" s="77" t="s">
        <v>1777</v>
      </c>
      <c r="F258" s="77" t="s">
        <v>1833</v>
      </c>
      <c r="G258" s="77" t="s">
        <v>1840</v>
      </c>
    </row>
    <row r="259" spans="1:7" ht="48" x14ac:dyDescent="0.2">
      <c r="A259" s="79">
        <v>500796</v>
      </c>
      <c r="B259" s="77" t="s">
        <v>789</v>
      </c>
      <c r="C259" s="77" t="s">
        <v>790</v>
      </c>
      <c r="D259" s="78">
        <v>0.39600000000000002</v>
      </c>
      <c r="E259" s="77" t="s">
        <v>1777</v>
      </c>
      <c r="F259" s="77" t="s">
        <v>1833</v>
      </c>
      <c r="G259" s="77" t="s">
        <v>1840</v>
      </c>
    </row>
    <row r="260" spans="1:7" ht="48" x14ac:dyDescent="0.2">
      <c r="A260" s="79">
        <v>500063</v>
      </c>
      <c r="B260" s="77" t="s">
        <v>804</v>
      </c>
      <c r="C260" s="77" t="s">
        <v>805</v>
      </c>
      <c r="D260" s="78">
        <v>0.186</v>
      </c>
      <c r="E260" s="77" t="s">
        <v>1777</v>
      </c>
      <c r="F260" s="77" t="s">
        <v>1833</v>
      </c>
      <c r="G260" s="77" t="s">
        <v>1840</v>
      </c>
    </row>
    <row r="261" spans="1:7" ht="16" x14ac:dyDescent="0.2">
      <c r="A261" s="79">
        <v>500748</v>
      </c>
      <c r="B261" s="77" t="s">
        <v>78</v>
      </c>
      <c r="C261" s="77" t="s">
        <v>79</v>
      </c>
      <c r="D261" s="78">
        <v>10904.30171</v>
      </c>
      <c r="E261" s="77" t="s">
        <v>1789</v>
      </c>
      <c r="F261" s="77" t="s">
        <v>1292</v>
      </c>
      <c r="G261" s="77" t="s">
        <v>1792</v>
      </c>
    </row>
    <row r="262" spans="1:7" ht="16" x14ac:dyDescent="0.2">
      <c r="A262" s="79">
        <v>500630</v>
      </c>
      <c r="B262" s="77" t="s">
        <v>98</v>
      </c>
      <c r="C262" s="77" t="s">
        <v>99</v>
      </c>
      <c r="D262" s="78">
        <v>2568.9169700000002</v>
      </c>
      <c r="E262" s="77" t="s">
        <v>1789</v>
      </c>
      <c r="F262" s="77" t="s">
        <v>75</v>
      </c>
      <c r="G262" s="77" t="s">
        <v>1791</v>
      </c>
    </row>
    <row r="263" spans="1:7" ht="16" x14ac:dyDescent="0.2">
      <c r="A263" s="79">
        <v>500140</v>
      </c>
      <c r="B263" s="77" t="s">
        <v>110</v>
      </c>
      <c r="C263" s="77" t="s">
        <v>111</v>
      </c>
      <c r="D263" s="78">
        <v>1776.35391</v>
      </c>
      <c r="E263" s="77" t="s">
        <v>1789</v>
      </c>
      <c r="F263" s="77" t="s">
        <v>75</v>
      </c>
      <c r="G263" s="77" t="s">
        <v>1791</v>
      </c>
    </row>
    <row r="264" spans="1:7" ht="32" x14ac:dyDescent="0.2">
      <c r="A264" s="79">
        <v>500867</v>
      </c>
      <c r="B264" s="77" t="s">
        <v>118</v>
      </c>
      <c r="C264" s="77" t="s">
        <v>119</v>
      </c>
      <c r="D264" s="78">
        <v>1665.3118300000001</v>
      </c>
      <c r="E264" s="77" t="s">
        <v>1789</v>
      </c>
      <c r="F264" s="77" t="s">
        <v>1833</v>
      </c>
      <c r="G264" s="77" t="s">
        <v>1841</v>
      </c>
    </row>
    <row r="265" spans="1:7" ht="16" x14ac:dyDescent="0.2">
      <c r="A265" s="79">
        <v>500142</v>
      </c>
      <c r="B265" s="77" t="s">
        <v>128</v>
      </c>
      <c r="C265" s="77" t="s">
        <v>129</v>
      </c>
      <c r="D265" s="78">
        <v>1481.9964500000001</v>
      </c>
      <c r="E265" s="77" t="s">
        <v>1789</v>
      </c>
      <c r="F265" s="77" t="s">
        <v>75</v>
      </c>
      <c r="G265" s="77" t="s">
        <v>1791</v>
      </c>
    </row>
    <row r="266" spans="1:7" ht="16" x14ac:dyDescent="0.2">
      <c r="A266" s="79">
        <v>500045</v>
      </c>
      <c r="B266" s="77" t="s">
        <v>136</v>
      </c>
      <c r="C266" s="77" t="s">
        <v>137</v>
      </c>
      <c r="D266" s="78">
        <v>1302.62754</v>
      </c>
      <c r="E266" s="77" t="s">
        <v>1789</v>
      </c>
      <c r="F266" s="77" t="s">
        <v>1745</v>
      </c>
      <c r="G266" s="77" t="s">
        <v>1790</v>
      </c>
    </row>
    <row r="267" spans="1:7" ht="16" x14ac:dyDescent="0.2">
      <c r="A267" s="79">
        <v>500119</v>
      </c>
      <c r="B267" s="77" t="s">
        <v>197</v>
      </c>
      <c r="C267" s="77" t="s">
        <v>198</v>
      </c>
      <c r="D267" s="78">
        <v>587.87026000000003</v>
      </c>
      <c r="E267" s="77" t="s">
        <v>1789</v>
      </c>
      <c r="F267" s="77" t="s">
        <v>1745</v>
      </c>
      <c r="G267" s="77" t="s">
        <v>1790</v>
      </c>
    </row>
    <row r="268" spans="1:7" ht="16" x14ac:dyDescent="0.2">
      <c r="A268" s="79">
        <v>500170</v>
      </c>
      <c r="B268" s="77" t="s">
        <v>217</v>
      </c>
      <c r="C268" s="77" t="s">
        <v>218</v>
      </c>
      <c r="D268" s="78">
        <v>508.60628000000003</v>
      </c>
      <c r="E268" s="77" t="s">
        <v>1789</v>
      </c>
      <c r="F268" s="77" t="s">
        <v>75</v>
      </c>
      <c r="G268" s="77" t="s">
        <v>1791</v>
      </c>
    </row>
    <row r="269" spans="1:7" ht="32" x14ac:dyDescent="0.2">
      <c r="A269" s="79">
        <v>501062</v>
      </c>
      <c r="B269" s="77" t="s">
        <v>239</v>
      </c>
      <c r="C269" s="77" t="s">
        <v>240</v>
      </c>
      <c r="D269" s="78">
        <v>409.38778000000002</v>
      </c>
      <c r="E269" s="77" t="s">
        <v>1789</v>
      </c>
      <c r="F269" s="77" t="s">
        <v>1833</v>
      </c>
      <c r="G269" s="77" t="s">
        <v>1841</v>
      </c>
    </row>
    <row r="270" spans="1:7" ht="32" x14ac:dyDescent="0.2">
      <c r="A270" s="79">
        <v>501230</v>
      </c>
      <c r="B270" s="77" t="s">
        <v>285</v>
      </c>
      <c r="C270" s="77" t="s">
        <v>286</v>
      </c>
      <c r="D270" s="78">
        <v>295.00166000000002</v>
      </c>
      <c r="E270" s="77" t="s">
        <v>1789</v>
      </c>
      <c r="F270" s="77" t="s">
        <v>1833</v>
      </c>
      <c r="G270" s="77" t="s">
        <v>1841</v>
      </c>
    </row>
    <row r="271" spans="1:7" ht="32" x14ac:dyDescent="0.2">
      <c r="A271" s="79">
        <v>501139</v>
      </c>
      <c r="B271" s="77" t="s">
        <v>311</v>
      </c>
      <c r="C271" s="77" t="s">
        <v>312</v>
      </c>
      <c r="D271" s="78">
        <v>217.25380000000001</v>
      </c>
      <c r="E271" s="77" t="s">
        <v>1789</v>
      </c>
      <c r="F271" s="77" t="s">
        <v>1833</v>
      </c>
      <c r="G271" s="77" t="s">
        <v>1841</v>
      </c>
    </row>
    <row r="272" spans="1:7" ht="32" x14ac:dyDescent="0.2">
      <c r="A272" s="79">
        <v>500999</v>
      </c>
      <c r="B272" s="77" t="s">
        <v>319</v>
      </c>
      <c r="C272" s="77" t="s">
        <v>320</v>
      </c>
      <c r="D272" s="78">
        <v>210.81682000000001</v>
      </c>
      <c r="E272" s="77" t="s">
        <v>1789</v>
      </c>
      <c r="F272" s="77" t="s">
        <v>1833</v>
      </c>
      <c r="G272" s="77" t="s">
        <v>1841</v>
      </c>
    </row>
    <row r="273" spans="1:7" ht="32" x14ac:dyDescent="0.2">
      <c r="A273" s="79">
        <v>500815</v>
      </c>
      <c r="B273" s="77" t="s">
        <v>327</v>
      </c>
      <c r="C273" s="77" t="s">
        <v>328</v>
      </c>
      <c r="D273" s="78">
        <v>189.33311</v>
      </c>
      <c r="E273" s="77" t="s">
        <v>1789</v>
      </c>
      <c r="F273" s="77" t="s">
        <v>1833</v>
      </c>
      <c r="G273" s="77" t="s">
        <v>1841</v>
      </c>
    </row>
    <row r="274" spans="1:7" ht="16" x14ac:dyDescent="0.2">
      <c r="A274" s="79">
        <v>500874</v>
      </c>
      <c r="B274" s="77" t="s">
        <v>331</v>
      </c>
      <c r="C274" s="77" t="s">
        <v>332</v>
      </c>
      <c r="D274" s="78">
        <v>182.88140000000001</v>
      </c>
      <c r="E274" s="77" t="s">
        <v>1789</v>
      </c>
      <c r="F274" s="77" t="s">
        <v>1745</v>
      </c>
      <c r="G274" s="77" t="s">
        <v>1790</v>
      </c>
    </row>
    <row r="275" spans="1:7" ht="16" x14ac:dyDescent="0.2">
      <c r="A275" s="79">
        <v>500878</v>
      </c>
      <c r="B275" s="77" t="s">
        <v>380</v>
      </c>
      <c r="C275" s="77" t="s">
        <v>381</v>
      </c>
      <c r="D275" s="78">
        <v>133.39296999999999</v>
      </c>
      <c r="E275" s="77" t="s">
        <v>1789</v>
      </c>
      <c r="F275" s="77" t="s">
        <v>75</v>
      </c>
      <c r="G275" s="77" t="s">
        <v>1791</v>
      </c>
    </row>
    <row r="276" spans="1:7" ht="16" x14ac:dyDescent="0.2">
      <c r="A276" s="79">
        <v>500877</v>
      </c>
      <c r="B276" s="77" t="s">
        <v>421</v>
      </c>
      <c r="C276" s="77" t="s">
        <v>422</v>
      </c>
      <c r="D276" s="78">
        <v>88.005970000000005</v>
      </c>
      <c r="E276" s="77" t="s">
        <v>1789</v>
      </c>
      <c r="F276" s="77" t="s">
        <v>1745</v>
      </c>
      <c r="G276" s="77" t="s">
        <v>1790</v>
      </c>
    </row>
    <row r="277" spans="1:7" ht="32" x14ac:dyDescent="0.2">
      <c r="A277" s="79">
        <v>500726</v>
      </c>
      <c r="B277" s="77" t="s">
        <v>464</v>
      </c>
      <c r="C277" s="77" t="s">
        <v>465</v>
      </c>
      <c r="D277" s="78">
        <v>63.533470000000001</v>
      </c>
      <c r="E277" s="77" t="s">
        <v>1789</v>
      </c>
      <c r="F277" s="77" t="s">
        <v>1833</v>
      </c>
      <c r="G277" s="77" t="s">
        <v>1841</v>
      </c>
    </row>
    <row r="278" spans="1:7" ht="32" x14ac:dyDescent="0.2">
      <c r="A278" s="79">
        <v>500725</v>
      </c>
      <c r="B278" s="77" t="s">
        <v>474</v>
      </c>
      <c r="C278" s="77" t="s">
        <v>475</v>
      </c>
      <c r="D278" s="78">
        <v>56.966059999999999</v>
      </c>
      <c r="E278" s="77" t="s">
        <v>1789</v>
      </c>
      <c r="F278" s="77" t="s">
        <v>1833</v>
      </c>
      <c r="G278" s="77" t="s">
        <v>1841</v>
      </c>
    </row>
    <row r="279" spans="1:7" ht="16" x14ac:dyDescent="0.2">
      <c r="A279" s="79">
        <v>500228</v>
      </c>
      <c r="B279" s="77" t="s">
        <v>484</v>
      </c>
      <c r="C279" s="77" t="s">
        <v>485</v>
      </c>
      <c r="D279" s="78">
        <v>49.767940000000003</v>
      </c>
      <c r="E279" s="77" t="s">
        <v>1789</v>
      </c>
      <c r="F279" s="77" t="s">
        <v>1745</v>
      </c>
      <c r="G279" s="77" t="s">
        <v>1790</v>
      </c>
    </row>
    <row r="280" spans="1:7" ht="32" x14ac:dyDescent="0.2">
      <c r="A280" s="79">
        <v>500853</v>
      </c>
      <c r="B280" s="77" t="s">
        <v>506</v>
      </c>
      <c r="C280" s="77" t="s">
        <v>507</v>
      </c>
      <c r="D280" s="78">
        <v>39.258600000000001</v>
      </c>
      <c r="E280" s="77" t="s">
        <v>1789</v>
      </c>
      <c r="F280" s="77" t="s">
        <v>1833</v>
      </c>
      <c r="G280" s="77" t="s">
        <v>1841</v>
      </c>
    </row>
    <row r="281" spans="1:7" ht="16" x14ac:dyDescent="0.2">
      <c r="A281" s="79">
        <v>500698</v>
      </c>
      <c r="B281" s="77" t="s">
        <v>508</v>
      </c>
      <c r="C281" s="77" t="s">
        <v>509</v>
      </c>
      <c r="D281" s="78">
        <v>37.577100000000002</v>
      </c>
      <c r="E281" s="77" t="s">
        <v>1789</v>
      </c>
      <c r="F281" s="77" t="s">
        <v>75</v>
      </c>
      <c r="G281" s="77" t="s">
        <v>1791</v>
      </c>
    </row>
    <row r="282" spans="1:7" ht="32" x14ac:dyDescent="0.2">
      <c r="A282" s="79">
        <v>500974</v>
      </c>
      <c r="B282" s="77" t="s">
        <v>520</v>
      </c>
      <c r="C282" s="77" t="s">
        <v>521</v>
      </c>
      <c r="D282" s="78">
        <v>34.094700000000003</v>
      </c>
      <c r="E282" s="77" t="s">
        <v>1789</v>
      </c>
      <c r="F282" s="77" t="s">
        <v>1833</v>
      </c>
      <c r="G282" s="77" t="s">
        <v>1841</v>
      </c>
    </row>
    <row r="283" spans="1:7" ht="32" x14ac:dyDescent="0.2">
      <c r="A283" s="79">
        <v>500658</v>
      </c>
      <c r="B283" s="77" t="s">
        <v>550</v>
      </c>
      <c r="C283" s="77" t="s">
        <v>551</v>
      </c>
      <c r="D283" s="78">
        <v>23.041650000000001</v>
      </c>
      <c r="E283" s="77" t="s">
        <v>1789</v>
      </c>
      <c r="F283" s="77" t="s">
        <v>1833</v>
      </c>
      <c r="G283" s="77" t="s">
        <v>1841</v>
      </c>
    </row>
    <row r="284" spans="1:7" ht="32" x14ac:dyDescent="0.2">
      <c r="A284" s="79">
        <v>500722</v>
      </c>
      <c r="B284" s="77" t="s">
        <v>558</v>
      </c>
      <c r="C284" s="77" t="s">
        <v>559</v>
      </c>
      <c r="D284" s="78">
        <v>22.002600000000001</v>
      </c>
      <c r="E284" s="77" t="s">
        <v>1789</v>
      </c>
      <c r="F284" s="77" t="s">
        <v>1833</v>
      </c>
      <c r="G284" s="77" t="s">
        <v>1841</v>
      </c>
    </row>
    <row r="285" spans="1:7" ht="32" x14ac:dyDescent="0.2">
      <c r="A285" s="79">
        <v>501067</v>
      </c>
      <c r="B285" s="77" t="s">
        <v>562</v>
      </c>
      <c r="C285" s="77" t="s">
        <v>563</v>
      </c>
      <c r="D285" s="78">
        <v>20.391960000000001</v>
      </c>
      <c r="E285" s="77" t="s">
        <v>1789</v>
      </c>
      <c r="F285" s="77" t="s">
        <v>1833</v>
      </c>
      <c r="G285" s="77" t="s">
        <v>1841</v>
      </c>
    </row>
    <row r="286" spans="1:7" ht="16" x14ac:dyDescent="0.2">
      <c r="A286" s="79">
        <v>500803</v>
      </c>
      <c r="B286" s="77" t="s">
        <v>564</v>
      </c>
      <c r="C286" s="77" t="s">
        <v>565</v>
      </c>
      <c r="D286" s="78">
        <v>20.280999999999999</v>
      </c>
      <c r="E286" s="77" t="s">
        <v>1789</v>
      </c>
      <c r="F286" s="77" t="s">
        <v>1745</v>
      </c>
      <c r="G286" s="77" t="s">
        <v>1790</v>
      </c>
    </row>
    <row r="287" spans="1:7" ht="32" x14ac:dyDescent="0.2">
      <c r="A287" s="79">
        <v>500975</v>
      </c>
      <c r="B287" s="77" t="s">
        <v>578</v>
      </c>
      <c r="C287" s="77" t="s">
        <v>579</v>
      </c>
      <c r="D287" s="78">
        <v>18.433800000000002</v>
      </c>
      <c r="E287" s="77" t="s">
        <v>1789</v>
      </c>
      <c r="F287" s="77" t="s">
        <v>1833</v>
      </c>
      <c r="G287" s="77" t="s">
        <v>1841</v>
      </c>
    </row>
    <row r="288" spans="1:7" ht="32" x14ac:dyDescent="0.2">
      <c r="A288" s="79">
        <v>501066</v>
      </c>
      <c r="B288" s="77" t="s">
        <v>596</v>
      </c>
      <c r="C288" s="77" t="s">
        <v>597</v>
      </c>
      <c r="D288" s="78">
        <v>12.55354</v>
      </c>
      <c r="E288" s="77" t="s">
        <v>1789</v>
      </c>
      <c r="F288" s="77" t="s">
        <v>1833</v>
      </c>
      <c r="G288" s="77" t="s">
        <v>1841</v>
      </c>
    </row>
    <row r="289" spans="1:7" ht="32" x14ac:dyDescent="0.2">
      <c r="A289" s="79">
        <v>501068</v>
      </c>
      <c r="B289" s="77" t="s">
        <v>614</v>
      </c>
      <c r="C289" s="77" t="s">
        <v>615</v>
      </c>
      <c r="D289" s="78">
        <v>9.1155600000000003</v>
      </c>
      <c r="E289" s="77" t="s">
        <v>1789</v>
      </c>
      <c r="F289" s="77" t="s">
        <v>1833</v>
      </c>
      <c r="G289" s="77" t="s">
        <v>1841</v>
      </c>
    </row>
    <row r="290" spans="1:7" ht="32" x14ac:dyDescent="0.2">
      <c r="A290" s="79">
        <v>501064</v>
      </c>
      <c r="B290" s="77" t="s">
        <v>647</v>
      </c>
      <c r="C290" s="77" t="s">
        <v>648</v>
      </c>
      <c r="D290" s="78">
        <v>6.7268100000000004</v>
      </c>
      <c r="E290" s="77" t="s">
        <v>1789</v>
      </c>
      <c r="F290" s="77" t="s">
        <v>1833</v>
      </c>
      <c r="G290" s="77" t="s">
        <v>1841</v>
      </c>
    </row>
    <row r="291" spans="1:7" ht="32" x14ac:dyDescent="0.2">
      <c r="A291" s="79">
        <v>500723</v>
      </c>
      <c r="B291" s="77" t="s">
        <v>657</v>
      </c>
      <c r="C291" s="77" t="s">
        <v>658</v>
      </c>
      <c r="D291" s="78">
        <v>6.33</v>
      </c>
      <c r="E291" s="77" t="s">
        <v>1789</v>
      </c>
      <c r="F291" s="77" t="s">
        <v>1833</v>
      </c>
      <c r="G291" s="77" t="s">
        <v>1841</v>
      </c>
    </row>
    <row r="292" spans="1:7" ht="32" x14ac:dyDescent="0.2">
      <c r="A292" s="79">
        <v>501005</v>
      </c>
      <c r="B292" s="77" t="s">
        <v>677</v>
      </c>
      <c r="C292" s="77" t="s">
        <v>678</v>
      </c>
      <c r="D292" s="78">
        <v>5.2900999999999998</v>
      </c>
      <c r="E292" s="77" t="s">
        <v>1789</v>
      </c>
      <c r="F292" s="77" t="s">
        <v>1833</v>
      </c>
      <c r="G292" s="77" t="s">
        <v>1841</v>
      </c>
    </row>
    <row r="293" spans="1:7" ht="32" x14ac:dyDescent="0.2">
      <c r="A293" s="79">
        <v>501069</v>
      </c>
      <c r="B293" s="77" t="s">
        <v>682</v>
      </c>
      <c r="C293" s="77" t="s">
        <v>683</v>
      </c>
      <c r="D293" s="78">
        <v>4.6737799999999998</v>
      </c>
      <c r="E293" s="77" t="s">
        <v>1789</v>
      </c>
      <c r="F293" s="77" t="s">
        <v>1833</v>
      </c>
      <c r="G293" s="77" t="s">
        <v>1841</v>
      </c>
    </row>
    <row r="294" spans="1:7" ht="32" x14ac:dyDescent="0.2">
      <c r="A294" s="79">
        <v>500727</v>
      </c>
      <c r="B294" s="77" t="s">
        <v>696</v>
      </c>
      <c r="C294" s="77" t="s">
        <v>697</v>
      </c>
      <c r="D294" s="78">
        <v>3.2079</v>
      </c>
      <c r="E294" s="77" t="s">
        <v>1789</v>
      </c>
      <c r="F294" s="77" t="s">
        <v>1833</v>
      </c>
      <c r="G294" s="77" t="s">
        <v>1841</v>
      </c>
    </row>
    <row r="295" spans="1:7" ht="32" x14ac:dyDescent="0.2">
      <c r="A295" s="79">
        <v>500724</v>
      </c>
      <c r="B295" s="77" t="s">
        <v>702</v>
      </c>
      <c r="C295" s="77" t="s">
        <v>703</v>
      </c>
      <c r="D295" s="78">
        <v>2.8361999999999998</v>
      </c>
      <c r="E295" s="77" t="s">
        <v>1789</v>
      </c>
      <c r="F295" s="77" t="s">
        <v>1833</v>
      </c>
      <c r="G295" s="77" t="s">
        <v>1841</v>
      </c>
    </row>
    <row r="296" spans="1:7" ht="32" x14ac:dyDescent="0.2">
      <c r="A296" s="79">
        <v>500911</v>
      </c>
      <c r="B296" s="77" t="s">
        <v>714</v>
      </c>
      <c r="C296" s="77" t="s">
        <v>715</v>
      </c>
      <c r="D296" s="78">
        <v>2.2679999999999998</v>
      </c>
      <c r="E296" s="77" t="s">
        <v>1789</v>
      </c>
      <c r="F296" s="77" t="s">
        <v>1833</v>
      </c>
      <c r="G296" s="77" t="s">
        <v>1841</v>
      </c>
    </row>
    <row r="297" spans="1:7" ht="32" x14ac:dyDescent="0.2">
      <c r="A297" s="79">
        <v>501065</v>
      </c>
      <c r="B297" s="77" t="s">
        <v>734</v>
      </c>
      <c r="C297" s="77" t="s">
        <v>735</v>
      </c>
      <c r="D297" s="78">
        <v>1.82168</v>
      </c>
      <c r="E297" s="77" t="s">
        <v>1789</v>
      </c>
      <c r="F297" s="77" t="s">
        <v>1833</v>
      </c>
      <c r="G297" s="77" t="s">
        <v>1841</v>
      </c>
    </row>
    <row r="298" spans="1:7" ht="16" x14ac:dyDescent="0.2">
      <c r="A298" s="79">
        <v>500638</v>
      </c>
      <c r="B298" s="77" t="s">
        <v>767</v>
      </c>
      <c r="C298" s="77" t="s">
        <v>768</v>
      </c>
      <c r="D298" s="78">
        <v>0.75</v>
      </c>
      <c r="E298" s="77" t="s">
        <v>1789</v>
      </c>
      <c r="F298" s="77" t="s">
        <v>75</v>
      </c>
      <c r="G298" s="77" t="s">
        <v>1791</v>
      </c>
    </row>
    <row r="299" spans="1:7" ht="32" x14ac:dyDescent="0.2">
      <c r="A299" s="79">
        <v>500862</v>
      </c>
      <c r="B299" s="77" t="s">
        <v>86</v>
      </c>
      <c r="C299" s="77" t="s">
        <v>87</v>
      </c>
      <c r="D299" s="78">
        <v>5185.23981</v>
      </c>
      <c r="E299" s="77" t="s">
        <v>1793</v>
      </c>
      <c r="F299" s="77" t="s">
        <v>1292</v>
      </c>
      <c r="G299" s="77" t="s">
        <v>1796</v>
      </c>
    </row>
    <row r="300" spans="1:7" ht="32" x14ac:dyDescent="0.2">
      <c r="A300" s="79">
        <v>500093</v>
      </c>
      <c r="B300" s="77" t="s">
        <v>92</v>
      </c>
      <c r="C300" s="77" t="s">
        <v>93</v>
      </c>
      <c r="D300" s="78">
        <v>3576.7048300000001</v>
      </c>
      <c r="E300" s="77" t="s">
        <v>1793</v>
      </c>
      <c r="F300" s="77" t="s">
        <v>75</v>
      </c>
      <c r="G300" s="77" t="s">
        <v>1795</v>
      </c>
    </row>
    <row r="301" spans="1:7" ht="16" x14ac:dyDescent="0.2">
      <c r="A301" s="79">
        <v>500003</v>
      </c>
      <c r="B301" s="77" t="s">
        <v>106</v>
      </c>
      <c r="C301" s="77" t="s">
        <v>107</v>
      </c>
      <c r="D301" s="78">
        <v>2112.77025</v>
      </c>
      <c r="E301" s="77" t="s">
        <v>1793</v>
      </c>
      <c r="F301" s="77" t="s">
        <v>1745</v>
      </c>
      <c r="G301" s="77" t="s">
        <v>1794</v>
      </c>
    </row>
    <row r="302" spans="1:7" ht="32" x14ac:dyDescent="0.2">
      <c r="A302" s="79">
        <v>500150</v>
      </c>
      <c r="B302" s="77" t="s">
        <v>167</v>
      </c>
      <c r="C302" s="77" t="s">
        <v>168</v>
      </c>
      <c r="D302" s="78">
        <v>761.53234999999995</v>
      </c>
      <c r="E302" s="77" t="s">
        <v>1793</v>
      </c>
      <c r="F302" s="77" t="s">
        <v>1833</v>
      </c>
      <c r="G302" s="77" t="s">
        <v>1842</v>
      </c>
    </row>
    <row r="303" spans="1:7" ht="16" x14ac:dyDescent="0.2">
      <c r="A303" s="79">
        <v>500181</v>
      </c>
      <c r="B303" s="77" t="s">
        <v>209</v>
      </c>
      <c r="C303" s="77" t="s">
        <v>210</v>
      </c>
      <c r="D303" s="78">
        <v>539.23680000000002</v>
      </c>
      <c r="E303" s="77" t="s">
        <v>1793</v>
      </c>
      <c r="F303" s="77" t="s">
        <v>1745</v>
      </c>
      <c r="G303" s="77" t="s">
        <v>1794</v>
      </c>
    </row>
    <row r="304" spans="1:7" ht="32" x14ac:dyDescent="0.2">
      <c r="A304" s="79">
        <v>500673</v>
      </c>
      <c r="B304" s="77" t="s">
        <v>289</v>
      </c>
      <c r="C304" s="77" t="s">
        <v>290</v>
      </c>
      <c r="D304" s="78">
        <v>280.68592000000001</v>
      </c>
      <c r="E304" s="77" t="s">
        <v>1793</v>
      </c>
      <c r="F304" s="77" t="s">
        <v>75</v>
      </c>
      <c r="G304" s="77" t="s">
        <v>1795</v>
      </c>
    </row>
    <row r="305" spans="1:7" ht="16" x14ac:dyDescent="0.2">
      <c r="A305" s="79">
        <v>500846</v>
      </c>
      <c r="B305" s="77" t="s">
        <v>301</v>
      </c>
      <c r="C305" s="77" t="s">
        <v>302</v>
      </c>
      <c r="D305" s="78">
        <v>232.98257000000001</v>
      </c>
      <c r="E305" s="77" t="s">
        <v>1793</v>
      </c>
      <c r="F305" s="77" t="s">
        <v>1745</v>
      </c>
      <c r="G305" s="77" t="s">
        <v>1794</v>
      </c>
    </row>
    <row r="306" spans="1:7" ht="32" x14ac:dyDescent="0.2">
      <c r="A306" s="79">
        <v>500939</v>
      </c>
      <c r="B306" s="77" t="s">
        <v>394</v>
      </c>
      <c r="C306" s="77" t="s">
        <v>395</v>
      </c>
      <c r="D306" s="78">
        <v>112.47175</v>
      </c>
      <c r="E306" s="77" t="s">
        <v>1793</v>
      </c>
      <c r="F306" s="77" t="s">
        <v>1833</v>
      </c>
      <c r="G306" s="77" t="s">
        <v>1842</v>
      </c>
    </row>
    <row r="307" spans="1:7" ht="16" x14ac:dyDescent="0.2">
      <c r="A307" s="79">
        <v>501063</v>
      </c>
      <c r="B307" s="77" t="s">
        <v>428</v>
      </c>
      <c r="C307" s="77" t="s">
        <v>429</v>
      </c>
      <c r="D307" s="78">
        <v>83.486329999999995</v>
      </c>
      <c r="E307" s="77" t="s">
        <v>1793</v>
      </c>
      <c r="F307" s="77" t="s">
        <v>1745</v>
      </c>
      <c r="G307" s="77" t="s">
        <v>1794</v>
      </c>
    </row>
    <row r="308" spans="1:7" ht="32" x14ac:dyDescent="0.2">
      <c r="A308" s="79">
        <v>501236</v>
      </c>
      <c r="B308" s="77" t="s">
        <v>442</v>
      </c>
      <c r="C308" s="77" t="s">
        <v>443</v>
      </c>
      <c r="D308" s="78">
        <v>76.586460000000002</v>
      </c>
      <c r="E308" s="77" t="s">
        <v>1793</v>
      </c>
      <c r="F308" s="77" t="s">
        <v>1833</v>
      </c>
      <c r="G308" s="77" t="s">
        <v>1842</v>
      </c>
    </row>
    <row r="309" spans="1:7" ht="16" x14ac:dyDescent="0.2">
      <c r="A309" s="79">
        <v>500672</v>
      </c>
      <c r="B309" s="77" t="s">
        <v>448</v>
      </c>
      <c r="C309" s="77" t="s">
        <v>449</v>
      </c>
      <c r="D309" s="78">
        <v>72.624440000000007</v>
      </c>
      <c r="E309" s="77" t="s">
        <v>1793</v>
      </c>
      <c r="F309" s="77" t="s">
        <v>1745</v>
      </c>
      <c r="G309" s="77" t="s">
        <v>1794</v>
      </c>
    </row>
    <row r="310" spans="1:7" ht="16" x14ac:dyDescent="0.2">
      <c r="A310" s="79">
        <v>500005</v>
      </c>
      <c r="B310" s="77" t="s">
        <v>530</v>
      </c>
      <c r="C310" s="77" t="s">
        <v>531</v>
      </c>
      <c r="D310" s="78">
        <v>31.033529999999999</v>
      </c>
      <c r="E310" s="77" t="s">
        <v>1793</v>
      </c>
      <c r="F310" s="77" t="s">
        <v>1745</v>
      </c>
      <c r="G310" s="77" t="s">
        <v>1794</v>
      </c>
    </row>
    <row r="311" spans="1:7" ht="32" x14ac:dyDescent="0.2">
      <c r="A311" s="79">
        <v>500071</v>
      </c>
      <c r="B311" s="77" t="s">
        <v>534</v>
      </c>
      <c r="C311" s="77" t="s">
        <v>535</v>
      </c>
      <c r="D311" s="78">
        <v>29.246770000000001</v>
      </c>
      <c r="E311" s="77" t="s">
        <v>1793</v>
      </c>
      <c r="F311" s="77" t="s">
        <v>1833</v>
      </c>
      <c r="G311" s="77" t="s">
        <v>1842</v>
      </c>
    </row>
    <row r="312" spans="1:7" ht="32" x14ac:dyDescent="0.2">
      <c r="A312" s="79">
        <v>500301</v>
      </c>
      <c r="B312" s="77" t="s">
        <v>568</v>
      </c>
      <c r="C312" s="77" t="s">
        <v>569</v>
      </c>
      <c r="D312" s="78">
        <v>20.030950000000001</v>
      </c>
      <c r="E312" s="77" t="s">
        <v>1793</v>
      </c>
      <c r="F312" s="77" t="s">
        <v>75</v>
      </c>
      <c r="G312" s="77" t="s">
        <v>1795</v>
      </c>
    </row>
    <row r="313" spans="1:7" ht="32" x14ac:dyDescent="0.2">
      <c r="A313" s="79">
        <v>500729</v>
      </c>
      <c r="B313" s="77" t="s">
        <v>586</v>
      </c>
      <c r="C313" s="77" t="s">
        <v>587</v>
      </c>
      <c r="D313" s="78">
        <v>15.66878</v>
      </c>
      <c r="E313" s="77" t="s">
        <v>1793</v>
      </c>
      <c r="F313" s="77" t="s">
        <v>1833</v>
      </c>
      <c r="G313" s="77" t="s">
        <v>1842</v>
      </c>
    </row>
    <row r="314" spans="1:7" ht="16" x14ac:dyDescent="0.2">
      <c r="A314" s="79">
        <v>500041</v>
      </c>
      <c r="B314" s="77" t="s">
        <v>608</v>
      </c>
      <c r="C314" s="77" t="s">
        <v>609</v>
      </c>
      <c r="D314" s="78">
        <v>9.7677600000000009</v>
      </c>
      <c r="E314" s="77" t="s">
        <v>1793</v>
      </c>
      <c r="F314" s="77" t="s">
        <v>1745</v>
      </c>
      <c r="G314" s="77" t="s">
        <v>1794</v>
      </c>
    </row>
    <row r="315" spans="1:7" ht="32" x14ac:dyDescent="0.2">
      <c r="A315" s="79">
        <v>500202</v>
      </c>
      <c r="B315" s="77" t="s">
        <v>671</v>
      </c>
      <c r="C315" s="77" t="s">
        <v>672</v>
      </c>
      <c r="D315" s="78">
        <v>5.5046999999999997</v>
      </c>
      <c r="E315" s="77" t="s">
        <v>1793</v>
      </c>
      <c r="F315" s="77" t="s">
        <v>1833</v>
      </c>
      <c r="G315" s="77" t="s">
        <v>1842</v>
      </c>
    </row>
    <row r="316" spans="1:7" ht="32" x14ac:dyDescent="0.2">
      <c r="A316" s="79">
        <v>500002</v>
      </c>
      <c r="B316" s="77" t="s">
        <v>88</v>
      </c>
      <c r="C316" s="77" t="s">
        <v>89</v>
      </c>
      <c r="D316" s="78">
        <v>5178.5988600000001</v>
      </c>
      <c r="E316" s="77" t="s">
        <v>1756</v>
      </c>
      <c r="F316" s="77" t="s">
        <v>1745</v>
      </c>
      <c r="G316" s="77" t="s">
        <v>1797</v>
      </c>
    </row>
    <row r="317" spans="1:7" ht="32" x14ac:dyDescent="0.2">
      <c r="A317" s="79">
        <v>500136</v>
      </c>
      <c r="B317" s="77" t="s">
        <v>90</v>
      </c>
      <c r="C317" s="77" t="s">
        <v>91</v>
      </c>
      <c r="D317" s="78">
        <v>4564.0249199999998</v>
      </c>
      <c r="E317" s="77" t="s">
        <v>1756</v>
      </c>
      <c r="F317" s="77" t="s">
        <v>75</v>
      </c>
      <c r="G317" s="77" t="s">
        <v>1798</v>
      </c>
    </row>
    <row r="318" spans="1:7" ht="32" x14ac:dyDescent="0.2">
      <c r="A318" s="79">
        <v>500861</v>
      </c>
      <c r="B318" s="77" t="s">
        <v>104</v>
      </c>
      <c r="C318" s="77" t="s">
        <v>105</v>
      </c>
      <c r="D318" s="78">
        <v>2358.5683600000002</v>
      </c>
      <c r="E318" s="77" t="s">
        <v>1756</v>
      </c>
      <c r="F318" s="77" t="s">
        <v>1833</v>
      </c>
      <c r="G318" s="77" t="s">
        <v>1843</v>
      </c>
    </row>
    <row r="319" spans="1:7" ht="32" x14ac:dyDescent="0.2">
      <c r="A319" s="79">
        <v>500187</v>
      </c>
      <c r="B319" s="77" t="s">
        <v>142</v>
      </c>
      <c r="C319" s="77" t="s">
        <v>143</v>
      </c>
      <c r="D319" s="78">
        <v>1173.0082199999999</v>
      </c>
      <c r="E319" s="77" t="s">
        <v>1756</v>
      </c>
      <c r="F319" s="77" t="s">
        <v>75</v>
      </c>
      <c r="G319" s="77" t="s">
        <v>1798</v>
      </c>
    </row>
    <row r="320" spans="1:7" ht="32" x14ac:dyDescent="0.2">
      <c r="A320" s="79">
        <v>500633</v>
      </c>
      <c r="B320" s="77" t="s">
        <v>181</v>
      </c>
      <c r="C320" s="77" t="s">
        <v>182</v>
      </c>
      <c r="D320" s="78">
        <v>658.01620000000003</v>
      </c>
      <c r="E320" s="77" t="s">
        <v>1756</v>
      </c>
      <c r="F320" s="77" t="s">
        <v>75</v>
      </c>
      <c r="G320" s="77" t="s">
        <v>1798</v>
      </c>
    </row>
    <row r="321" spans="1:7" ht="32" x14ac:dyDescent="0.2">
      <c r="A321" s="79">
        <v>500023</v>
      </c>
      <c r="B321" s="77" t="s">
        <v>199</v>
      </c>
      <c r="C321" s="77" t="s">
        <v>200</v>
      </c>
      <c r="D321" s="78">
        <v>573.07977000000005</v>
      </c>
      <c r="E321" s="77" t="s">
        <v>1756</v>
      </c>
      <c r="F321" s="77" t="s">
        <v>1745</v>
      </c>
      <c r="G321" s="77" t="s">
        <v>1797</v>
      </c>
    </row>
    <row r="322" spans="1:7" ht="32" x14ac:dyDescent="0.2">
      <c r="A322" s="79">
        <v>500938</v>
      </c>
      <c r="B322" s="77" t="s">
        <v>392</v>
      </c>
      <c r="C322" s="77" t="s">
        <v>393</v>
      </c>
      <c r="D322" s="78">
        <v>114.14528</v>
      </c>
      <c r="E322" s="77" t="s">
        <v>1756</v>
      </c>
      <c r="F322" s="77" t="s">
        <v>1833</v>
      </c>
      <c r="G322" s="77" t="s">
        <v>1843</v>
      </c>
    </row>
    <row r="323" spans="1:7" ht="32" x14ac:dyDescent="0.2">
      <c r="A323" s="79">
        <v>501008</v>
      </c>
      <c r="B323" s="77" t="s">
        <v>411</v>
      </c>
      <c r="C323" s="77" t="s">
        <v>412</v>
      </c>
      <c r="D323" s="78">
        <v>92.718779999999995</v>
      </c>
      <c r="E323" s="77" t="s">
        <v>1756</v>
      </c>
      <c r="F323" s="77" t="s">
        <v>1833</v>
      </c>
      <c r="G323" s="77" t="s">
        <v>1843</v>
      </c>
    </row>
    <row r="324" spans="1:7" ht="32" x14ac:dyDescent="0.2">
      <c r="A324" s="79">
        <v>501041</v>
      </c>
      <c r="B324" s="77" t="s">
        <v>456</v>
      </c>
      <c r="C324" s="77" t="s">
        <v>457</v>
      </c>
      <c r="D324" s="78">
        <v>69.199250000000006</v>
      </c>
      <c r="E324" s="77" t="s">
        <v>1756</v>
      </c>
      <c r="F324" s="77" t="s">
        <v>1745</v>
      </c>
      <c r="G324" s="77" t="s">
        <v>1797</v>
      </c>
    </row>
    <row r="325" spans="1:7" ht="32" x14ac:dyDescent="0.2">
      <c r="A325" s="79">
        <v>501245</v>
      </c>
      <c r="B325" s="77" t="s">
        <v>460</v>
      </c>
      <c r="C325" s="77" t="s">
        <v>461</v>
      </c>
      <c r="D325" s="78">
        <v>65.823970000000003</v>
      </c>
      <c r="E325" s="77" t="s">
        <v>1756</v>
      </c>
      <c r="F325" s="77" t="s">
        <v>75</v>
      </c>
      <c r="G325" s="77" t="s">
        <v>1798</v>
      </c>
    </row>
    <row r="326" spans="1:7" ht="32" x14ac:dyDescent="0.2">
      <c r="A326" s="79">
        <v>501246</v>
      </c>
      <c r="B326" s="77" t="s">
        <v>466</v>
      </c>
      <c r="C326" s="77" t="s">
        <v>467</v>
      </c>
      <c r="D326" s="78">
        <v>61.645499999999998</v>
      </c>
      <c r="E326" s="77" t="s">
        <v>1756</v>
      </c>
      <c r="F326" s="77" t="s">
        <v>1292</v>
      </c>
      <c r="G326" s="77" t="s">
        <v>1799</v>
      </c>
    </row>
    <row r="327" spans="1:7" ht="32" x14ac:dyDescent="0.2">
      <c r="A327" s="79">
        <v>501244</v>
      </c>
      <c r="B327" s="77" t="s">
        <v>498</v>
      </c>
      <c r="C327" s="77" t="s">
        <v>499</v>
      </c>
      <c r="D327" s="78">
        <v>42.159320000000001</v>
      </c>
      <c r="E327" s="77" t="s">
        <v>1756</v>
      </c>
      <c r="F327" s="77" t="s">
        <v>1745</v>
      </c>
      <c r="G327" s="77" t="s">
        <v>1797</v>
      </c>
    </row>
    <row r="328" spans="1:7" ht="32" x14ac:dyDescent="0.2">
      <c r="A328" s="79">
        <v>500304</v>
      </c>
      <c r="B328" s="77" t="s">
        <v>510</v>
      </c>
      <c r="C328" s="77" t="s">
        <v>511</v>
      </c>
      <c r="D328" s="78">
        <v>37.184440000000002</v>
      </c>
      <c r="E328" s="77" t="s">
        <v>1756</v>
      </c>
      <c r="F328" s="77" t="s">
        <v>75</v>
      </c>
      <c r="G328" s="77" t="s">
        <v>1798</v>
      </c>
    </row>
    <row r="329" spans="1:7" ht="32" x14ac:dyDescent="0.2">
      <c r="A329" s="79">
        <v>500017</v>
      </c>
      <c r="B329" s="77" t="s">
        <v>566</v>
      </c>
      <c r="C329" s="77" t="s">
        <v>567</v>
      </c>
      <c r="D329" s="78">
        <v>20.06897</v>
      </c>
      <c r="E329" s="77" t="s">
        <v>1756</v>
      </c>
      <c r="F329" s="77" t="s">
        <v>1745</v>
      </c>
      <c r="G329" s="77" t="s">
        <v>1797</v>
      </c>
    </row>
    <row r="330" spans="1:7" ht="32" x14ac:dyDescent="0.2">
      <c r="A330" s="79">
        <v>500873</v>
      </c>
      <c r="B330" s="77" t="s">
        <v>592</v>
      </c>
      <c r="C330" s="77" t="s">
        <v>593</v>
      </c>
      <c r="D330" s="78">
        <v>13.102499999999999</v>
      </c>
      <c r="E330" s="77" t="s">
        <v>1756</v>
      </c>
      <c r="F330" s="77" t="s">
        <v>1833</v>
      </c>
      <c r="G330" s="77" t="s">
        <v>1843</v>
      </c>
    </row>
    <row r="331" spans="1:7" ht="32" x14ac:dyDescent="0.2">
      <c r="A331" s="79">
        <v>500425</v>
      </c>
      <c r="B331" s="77" t="s">
        <v>612</v>
      </c>
      <c r="C331" s="77" t="s">
        <v>613</v>
      </c>
      <c r="D331" s="78">
        <v>9.3614999999999995</v>
      </c>
      <c r="E331" s="77" t="s">
        <v>1756</v>
      </c>
      <c r="F331" s="77" t="s">
        <v>1833</v>
      </c>
      <c r="G331" s="77" t="s">
        <v>1843</v>
      </c>
    </row>
    <row r="332" spans="1:7" ht="32" x14ac:dyDescent="0.2">
      <c r="A332" s="79">
        <v>500611</v>
      </c>
      <c r="B332" s="77" t="s">
        <v>633</v>
      </c>
      <c r="C332" s="77" t="s">
        <v>634</v>
      </c>
      <c r="D332" s="78">
        <v>7.4555999999999996</v>
      </c>
      <c r="E332" s="77" t="s">
        <v>1756</v>
      </c>
      <c r="F332" s="77" t="s">
        <v>1833</v>
      </c>
      <c r="G332" s="77" t="s">
        <v>1843</v>
      </c>
    </row>
    <row r="333" spans="1:7" ht="32" x14ac:dyDescent="0.2">
      <c r="A333" s="79">
        <v>500038</v>
      </c>
      <c r="B333" s="77" t="s">
        <v>690</v>
      </c>
      <c r="C333" s="77" t="s">
        <v>691</v>
      </c>
      <c r="D333" s="78">
        <v>3.5389499999999998</v>
      </c>
      <c r="E333" s="77" t="s">
        <v>1756</v>
      </c>
      <c r="F333" s="77" t="s">
        <v>1833</v>
      </c>
      <c r="G333" s="77" t="s">
        <v>1843</v>
      </c>
    </row>
    <row r="334" spans="1:7" ht="32" x14ac:dyDescent="0.2">
      <c r="A334" s="79">
        <v>500204</v>
      </c>
      <c r="B334" s="77" t="s">
        <v>694</v>
      </c>
      <c r="C334" s="77" t="s">
        <v>695</v>
      </c>
      <c r="D334" s="78">
        <v>3.3635000000000002</v>
      </c>
      <c r="E334" s="77" t="s">
        <v>1756</v>
      </c>
      <c r="F334" s="77" t="s">
        <v>1833</v>
      </c>
      <c r="G334" s="77" t="s">
        <v>1843</v>
      </c>
    </row>
    <row r="335" spans="1:7" ht="32" x14ac:dyDescent="0.2">
      <c r="A335" s="79">
        <v>500217</v>
      </c>
      <c r="B335" s="77" t="s">
        <v>777</v>
      </c>
      <c r="C335" s="77" t="s">
        <v>778</v>
      </c>
      <c r="D335" s="78">
        <v>0.52349999999999997</v>
      </c>
      <c r="E335" s="77" t="s">
        <v>1756</v>
      </c>
      <c r="F335" s="77" t="s">
        <v>1833</v>
      </c>
      <c r="G335" s="77" t="s">
        <v>1843</v>
      </c>
    </row>
    <row r="336" spans="1:7" ht="32" x14ac:dyDescent="0.2">
      <c r="A336" s="79">
        <v>500745</v>
      </c>
      <c r="B336" s="77" t="s">
        <v>785</v>
      </c>
      <c r="C336" s="77" t="s">
        <v>786</v>
      </c>
      <c r="D336" s="78">
        <v>0.4788</v>
      </c>
      <c r="E336" s="77" t="s">
        <v>1756</v>
      </c>
      <c r="F336" s="77" t="s">
        <v>1833</v>
      </c>
      <c r="G336" s="77" t="s">
        <v>1843</v>
      </c>
    </row>
    <row r="337" spans="1:7" ht="32" x14ac:dyDescent="0.2">
      <c r="A337" s="79">
        <v>502001</v>
      </c>
      <c r="B337" s="77" t="s">
        <v>787</v>
      </c>
      <c r="C337" s="77" t="s">
        <v>788</v>
      </c>
      <c r="D337" s="78">
        <v>0.45</v>
      </c>
      <c r="E337" s="77" t="s">
        <v>1756</v>
      </c>
      <c r="F337" s="77" t="s">
        <v>1833</v>
      </c>
      <c r="G337" s="77" t="s">
        <v>1843</v>
      </c>
    </row>
    <row r="338" spans="1:7" ht="48" x14ac:dyDescent="0.2">
      <c r="A338" s="79">
        <v>500656</v>
      </c>
      <c r="B338" s="77" t="s">
        <v>84</v>
      </c>
      <c r="C338" s="77" t="s">
        <v>85</v>
      </c>
      <c r="D338" s="78">
        <v>5598.0627599999998</v>
      </c>
      <c r="E338" s="77" t="s">
        <v>1758</v>
      </c>
      <c r="F338" s="77" t="s">
        <v>1292</v>
      </c>
      <c r="G338" s="77" t="s">
        <v>1802</v>
      </c>
    </row>
    <row r="339" spans="1:7" ht="48" x14ac:dyDescent="0.2">
      <c r="A339" s="79">
        <v>500141</v>
      </c>
      <c r="B339" s="77" t="s">
        <v>100</v>
      </c>
      <c r="C339" s="77" t="s">
        <v>101</v>
      </c>
      <c r="D339" s="78">
        <v>2504.1611400000002</v>
      </c>
      <c r="E339" s="77" t="s">
        <v>1758</v>
      </c>
      <c r="F339" s="77" t="s">
        <v>75</v>
      </c>
      <c r="G339" s="77" t="s">
        <v>1801</v>
      </c>
    </row>
    <row r="340" spans="1:7" ht="48" x14ac:dyDescent="0.2">
      <c r="A340" s="79">
        <v>500019</v>
      </c>
      <c r="B340" s="77" t="s">
        <v>114</v>
      </c>
      <c r="C340" s="77" t="s">
        <v>115</v>
      </c>
      <c r="D340" s="78">
        <v>1727.0967700000001</v>
      </c>
      <c r="E340" s="77" t="s">
        <v>1758</v>
      </c>
      <c r="F340" s="77" t="s">
        <v>1745</v>
      </c>
      <c r="G340" s="77" t="s">
        <v>1800</v>
      </c>
    </row>
    <row r="341" spans="1:7" ht="48" x14ac:dyDescent="0.2">
      <c r="A341" s="79">
        <v>500973</v>
      </c>
      <c r="B341" s="77" t="s">
        <v>227</v>
      </c>
      <c r="C341" s="77" t="s">
        <v>228</v>
      </c>
      <c r="D341" s="78">
        <v>464.21552000000003</v>
      </c>
      <c r="E341" s="77" t="s">
        <v>1758</v>
      </c>
      <c r="F341" s="77" t="s">
        <v>75</v>
      </c>
      <c r="G341" s="77" t="s">
        <v>1801</v>
      </c>
    </row>
    <row r="342" spans="1:7" ht="48" x14ac:dyDescent="0.2">
      <c r="A342" s="79">
        <v>500028</v>
      </c>
      <c r="B342" s="77" t="s">
        <v>233</v>
      </c>
      <c r="C342" s="77" t="s">
        <v>234</v>
      </c>
      <c r="D342" s="78">
        <v>438.36426</v>
      </c>
      <c r="E342" s="77" t="s">
        <v>1758</v>
      </c>
      <c r="F342" s="77" t="s">
        <v>1833</v>
      </c>
      <c r="G342" s="77" t="s">
        <v>1844</v>
      </c>
    </row>
    <row r="343" spans="1:7" ht="48" x14ac:dyDescent="0.2">
      <c r="A343" s="79">
        <v>500963</v>
      </c>
      <c r="B343" s="77" t="s">
        <v>307</v>
      </c>
      <c r="C343" s="77" t="s">
        <v>308</v>
      </c>
      <c r="D343" s="78">
        <v>223.37299999999999</v>
      </c>
      <c r="E343" s="77" t="s">
        <v>1758</v>
      </c>
      <c r="F343" s="77" t="s">
        <v>1745</v>
      </c>
      <c r="G343" s="77" t="s">
        <v>1800</v>
      </c>
    </row>
    <row r="344" spans="1:7" ht="48" x14ac:dyDescent="0.2">
      <c r="A344" s="79">
        <v>500941</v>
      </c>
      <c r="B344" s="77" t="s">
        <v>344</v>
      </c>
      <c r="C344" s="77" t="s">
        <v>345</v>
      </c>
      <c r="D344" s="78">
        <v>168.70123000000001</v>
      </c>
      <c r="E344" s="77" t="s">
        <v>1758</v>
      </c>
      <c r="F344" s="77" t="s">
        <v>1833</v>
      </c>
      <c r="G344" s="77" t="s">
        <v>1844</v>
      </c>
    </row>
    <row r="345" spans="1:7" ht="48" x14ac:dyDescent="0.2">
      <c r="A345" s="79">
        <v>500972</v>
      </c>
      <c r="B345" s="77" t="s">
        <v>350</v>
      </c>
      <c r="C345" s="77" t="s">
        <v>351</v>
      </c>
      <c r="D345" s="78">
        <v>162.78845000000001</v>
      </c>
      <c r="E345" s="77" t="s">
        <v>1758</v>
      </c>
      <c r="F345" s="77" t="s">
        <v>1745</v>
      </c>
      <c r="G345" s="77" t="s">
        <v>1800</v>
      </c>
    </row>
    <row r="346" spans="1:7" ht="48" x14ac:dyDescent="0.2">
      <c r="A346" s="79">
        <v>501181</v>
      </c>
      <c r="B346" s="77" t="s">
        <v>472</v>
      </c>
      <c r="C346" s="77" t="s">
        <v>473</v>
      </c>
      <c r="D346" s="78">
        <v>57.919199999999996</v>
      </c>
      <c r="E346" s="77" t="s">
        <v>1758</v>
      </c>
      <c r="F346" s="77" t="s">
        <v>75</v>
      </c>
      <c r="G346" s="77" t="s">
        <v>1801</v>
      </c>
    </row>
    <row r="347" spans="1:7" ht="48" x14ac:dyDescent="0.2">
      <c r="A347" s="79">
        <v>500302</v>
      </c>
      <c r="B347" s="77" t="s">
        <v>528</v>
      </c>
      <c r="C347" s="77" t="s">
        <v>529</v>
      </c>
      <c r="D347" s="78">
        <v>32.065019999999997</v>
      </c>
      <c r="E347" s="77" t="s">
        <v>1758</v>
      </c>
      <c r="F347" s="77" t="s">
        <v>75</v>
      </c>
      <c r="G347" s="77" t="s">
        <v>1801</v>
      </c>
    </row>
    <row r="348" spans="1:7" ht="48" x14ac:dyDescent="0.2">
      <c r="A348" s="79">
        <v>500905</v>
      </c>
      <c r="B348" s="77" t="s">
        <v>574</v>
      </c>
      <c r="C348" s="77" t="s">
        <v>575</v>
      </c>
      <c r="D348" s="78">
        <v>19.373760000000001</v>
      </c>
      <c r="E348" s="77" t="s">
        <v>1758</v>
      </c>
      <c r="F348" s="77" t="s">
        <v>1833</v>
      </c>
      <c r="G348" s="77" t="s">
        <v>1844</v>
      </c>
    </row>
    <row r="349" spans="1:7" ht="48" x14ac:dyDescent="0.2">
      <c r="A349" s="79">
        <v>500907</v>
      </c>
      <c r="B349" s="77" t="s">
        <v>655</v>
      </c>
      <c r="C349" s="77" t="s">
        <v>656</v>
      </c>
      <c r="D349" s="78">
        <v>6.3394199999999996</v>
      </c>
      <c r="E349" s="77" t="s">
        <v>1758</v>
      </c>
      <c r="F349" s="77" t="s">
        <v>1833</v>
      </c>
      <c r="G349" s="77" t="s">
        <v>1844</v>
      </c>
    </row>
    <row r="350" spans="1:7" ht="48" x14ac:dyDescent="0.2">
      <c r="A350" s="79">
        <v>501152</v>
      </c>
      <c r="B350" s="77" t="s">
        <v>700</v>
      </c>
      <c r="C350" s="77" t="s">
        <v>701</v>
      </c>
      <c r="D350" s="78">
        <v>2.9232</v>
      </c>
      <c r="E350" s="77" t="s">
        <v>1758</v>
      </c>
      <c r="F350" s="77" t="s">
        <v>1833</v>
      </c>
      <c r="G350" s="77" t="s">
        <v>1844</v>
      </c>
    </row>
    <row r="351" spans="1:7" ht="48" x14ac:dyDescent="0.2">
      <c r="A351" s="79">
        <v>500906</v>
      </c>
      <c r="B351" s="77" t="s">
        <v>706</v>
      </c>
      <c r="C351" s="77" t="s">
        <v>707</v>
      </c>
      <c r="D351" s="78">
        <v>2.5571000000000002</v>
      </c>
      <c r="E351" s="77" t="s">
        <v>1758</v>
      </c>
      <c r="F351" s="77" t="s">
        <v>1833</v>
      </c>
      <c r="G351" s="77" t="s">
        <v>1844</v>
      </c>
    </row>
    <row r="352" spans="1:7" ht="48" x14ac:dyDescent="0.2">
      <c r="A352" s="79">
        <v>501229</v>
      </c>
      <c r="B352" s="77" t="s">
        <v>806</v>
      </c>
      <c r="C352" s="77" t="s">
        <v>807</v>
      </c>
      <c r="D352" s="78">
        <v>0.18</v>
      </c>
      <c r="E352" s="77" t="s">
        <v>1758</v>
      </c>
      <c r="F352" s="77" t="s">
        <v>1833</v>
      </c>
      <c r="G352" s="77" t="s">
        <v>1844</v>
      </c>
    </row>
    <row r="353" spans="1:7" ht="48" x14ac:dyDescent="0.2">
      <c r="A353" s="79">
        <v>500833</v>
      </c>
      <c r="B353" s="77" t="s">
        <v>120</v>
      </c>
      <c r="C353" s="77" t="s">
        <v>121</v>
      </c>
      <c r="D353" s="78">
        <v>1619.34943</v>
      </c>
      <c r="E353" s="77" t="s">
        <v>1760</v>
      </c>
      <c r="F353" s="77" t="s">
        <v>75</v>
      </c>
      <c r="G353" s="77" t="s">
        <v>1804</v>
      </c>
    </row>
    <row r="354" spans="1:7" ht="48" x14ac:dyDescent="0.2">
      <c r="A354" s="79">
        <v>501010</v>
      </c>
      <c r="B354" s="77" t="s">
        <v>170</v>
      </c>
      <c r="C354" s="77" t="s">
        <v>171</v>
      </c>
      <c r="D354" s="78">
        <v>719.69221000000005</v>
      </c>
      <c r="E354" s="77" t="s">
        <v>1760</v>
      </c>
      <c r="F354" s="77" t="s">
        <v>1292</v>
      </c>
      <c r="G354" s="77" t="s">
        <v>1805</v>
      </c>
    </row>
    <row r="355" spans="1:7" ht="48" x14ac:dyDescent="0.2">
      <c r="A355" s="79">
        <v>500189</v>
      </c>
      <c r="B355" s="77" t="s">
        <v>179</v>
      </c>
      <c r="C355" s="77" t="s">
        <v>180</v>
      </c>
      <c r="D355" s="78">
        <v>668.75248999999997</v>
      </c>
      <c r="E355" s="77" t="s">
        <v>1760</v>
      </c>
      <c r="F355" s="77" t="s">
        <v>75</v>
      </c>
      <c r="G355" s="77" t="s">
        <v>1804</v>
      </c>
    </row>
    <row r="356" spans="1:7" ht="32" x14ac:dyDescent="0.2">
      <c r="A356" s="79">
        <v>500125</v>
      </c>
      <c r="B356" s="77" t="s">
        <v>231</v>
      </c>
      <c r="C356" s="77" t="s">
        <v>232</v>
      </c>
      <c r="D356" s="78">
        <v>441.30250999999998</v>
      </c>
      <c r="E356" s="77" t="s">
        <v>1760</v>
      </c>
      <c r="F356" s="77" t="s">
        <v>1745</v>
      </c>
      <c r="G356" s="77" t="s">
        <v>1803</v>
      </c>
    </row>
    <row r="357" spans="1:7" ht="32" x14ac:dyDescent="0.2">
      <c r="A357" s="79">
        <v>500101</v>
      </c>
      <c r="B357" s="77" t="s">
        <v>277</v>
      </c>
      <c r="C357" s="77" t="s">
        <v>278</v>
      </c>
      <c r="D357" s="78">
        <v>306.48944</v>
      </c>
      <c r="E357" s="77" t="s">
        <v>1760</v>
      </c>
      <c r="F357" s="77" t="s">
        <v>1745</v>
      </c>
      <c r="G357" s="77" t="s">
        <v>1803</v>
      </c>
    </row>
    <row r="358" spans="1:7" ht="48" x14ac:dyDescent="0.2">
      <c r="A358" s="79">
        <v>500887</v>
      </c>
      <c r="B358" s="77" t="s">
        <v>291</v>
      </c>
      <c r="C358" s="77" t="s">
        <v>292</v>
      </c>
      <c r="D358" s="78">
        <v>276</v>
      </c>
      <c r="E358" s="77" t="s">
        <v>1760</v>
      </c>
      <c r="F358" s="77" t="s">
        <v>1833</v>
      </c>
      <c r="G358" s="77" t="s">
        <v>1845</v>
      </c>
    </row>
    <row r="359" spans="1:7" ht="32" x14ac:dyDescent="0.2">
      <c r="A359" s="79">
        <v>500097</v>
      </c>
      <c r="B359" s="77" t="s">
        <v>333</v>
      </c>
      <c r="C359" s="77" t="s">
        <v>334</v>
      </c>
      <c r="D359" s="78">
        <v>181.88399000000001</v>
      </c>
      <c r="E359" s="77" t="s">
        <v>1760</v>
      </c>
      <c r="F359" s="77" t="s">
        <v>1745</v>
      </c>
      <c r="G359" s="77" t="s">
        <v>1803</v>
      </c>
    </row>
    <row r="360" spans="1:7" ht="48" x14ac:dyDescent="0.2">
      <c r="A360" s="79">
        <v>501163</v>
      </c>
      <c r="B360" s="77" t="s">
        <v>364</v>
      </c>
      <c r="C360" s="77" t="s">
        <v>365</v>
      </c>
      <c r="D360" s="78">
        <v>150.02715000000001</v>
      </c>
      <c r="E360" s="77" t="s">
        <v>1760</v>
      </c>
      <c r="F360" s="77" t="s">
        <v>1833</v>
      </c>
      <c r="G360" s="77" t="s">
        <v>1845</v>
      </c>
    </row>
    <row r="361" spans="1:7" ht="48" x14ac:dyDescent="0.2">
      <c r="A361" s="79">
        <v>501131</v>
      </c>
      <c r="B361" s="77" t="s">
        <v>468</v>
      </c>
      <c r="C361" s="77" t="s">
        <v>469</v>
      </c>
      <c r="D361" s="78">
        <v>59.954410000000003</v>
      </c>
      <c r="E361" s="77" t="s">
        <v>1760</v>
      </c>
      <c r="F361" s="77" t="s">
        <v>1833</v>
      </c>
      <c r="G361" s="77" t="s">
        <v>1845</v>
      </c>
    </row>
    <row r="362" spans="1:7" ht="32" x14ac:dyDescent="0.2">
      <c r="A362" s="79">
        <v>500752</v>
      </c>
      <c r="B362" s="77" t="s">
        <v>486</v>
      </c>
      <c r="C362" s="77" t="s">
        <v>487</v>
      </c>
      <c r="D362" s="78">
        <v>48.837569999999999</v>
      </c>
      <c r="E362" s="77" t="s">
        <v>1760</v>
      </c>
      <c r="F362" s="77" t="s">
        <v>1745</v>
      </c>
      <c r="G362" s="77" t="s">
        <v>1803</v>
      </c>
    </row>
    <row r="363" spans="1:7" ht="48" x14ac:dyDescent="0.2">
      <c r="A363" s="79">
        <v>500977</v>
      </c>
      <c r="B363" s="77" t="s">
        <v>94</v>
      </c>
      <c r="C363" s="77" t="s">
        <v>95</v>
      </c>
      <c r="D363" s="78">
        <v>2926.6799900000001</v>
      </c>
      <c r="E363" s="77" t="s">
        <v>1762</v>
      </c>
      <c r="F363" s="77" t="s">
        <v>75</v>
      </c>
      <c r="G363" s="77" t="s">
        <v>1807</v>
      </c>
    </row>
    <row r="364" spans="1:7" ht="48" x14ac:dyDescent="0.2">
      <c r="A364" s="79">
        <v>500831</v>
      </c>
      <c r="B364" s="77" t="s">
        <v>132</v>
      </c>
      <c r="C364" s="77" t="s">
        <v>133</v>
      </c>
      <c r="D364" s="78">
        <v>1377.0928200000001</v>
      </c>
      <c r="E364" s="77" t="s">
        <v>1762</v>
      </c>
      <c r="F364" s="77" t="s">
        <v>75</v>
      </c>
      <c r="G364" s="77" t="s">
        <v>1807</v>
      </c>
    </row>
    <row r="365" spans="1:7" ht="48" x14ac:dyDescent="0.2">
      <c r="A365" s="79">
        <v>500934</v>
      </c>
      <c r="B365" s="77" t="s">
        <v>140</v>
      </c>
      <c r="C365" s="77" t="s">
        <v>141</v>
      </c>
      <c r="D365" s="78">
        <v>1262.7738300000001</v>
      </c>
      <c r="E365" s="77" t="s">
        <v>1762</v>
      </c>
      <c r="F365" s="77" t="s">
        <v>75</v>
      </c>
      <c r="G365" s="77" t="s">
        <v>1807</v>
      </c>
    </row>
    <row r="366" spans="1:7" ht="48" x14ac:dyDescent="0.2">
      <c r="A366" s="79">
        <v>500830</v>
      </c>
      <c r="B366" s="77" t="s">
        <v>144</v>
      </c>
      <c r="C366" s="77" t="s">
        <v>145</v>
      </c>
      <c r="D366" s="78">
        <v>1021.99317</v>
      </c>
      <c r="E366" s="77" t="s">
        <v>1762</v>
      </c>
      <c r="F366" s="77" t="s">
        <v>1745</v>
      </c>
      <c r="G366" s="77" t="s">
        <v>1806</v>
      </c>
    </row>
    <row r="367" spans="1:7" ht="48" x14ac:dyDescent="0.2">
      <c r="A367" s="79">
        <v>500695</v>
      </c>
      <c r="B367" s="77" t="s">
        <v>151</v>
      </c>
      <c r="C367" s="77" t="s">
        <v>152</v>
      </c>
      <c r="D367" s="78">
        <v>925.35637999999994</v>
      </c>
      <c r="E367" s="77" t="s">
        <v>1762</v>
      </c>
      <c r="F367" s="77" t="s">
        <v>1745</v>
      </c>
      <c r="G367" s="77" t="s">
        <v>1806</v>
      </c>
    </row>
    <row r="368" spans="1:7" ht="48" x14ac:dyDescent="0.2">
      <c r="A368" s="79">
        <v>500137</v>
      </c>
      <c r="B368" s="77" t="s">
        <v>201</v>
      </c>
      <c r="C368" s="77" t="s">
        <v>202</v>
      </c>
      <c r="D368" s="78">
        <v>569.34388000000001</v>
      </c>
      <c r="E368" s="77" t="s">
        <v>1762</v>
      </c>
      <c r="F368" s="77" t="s">
        <v>1745</v>
      </c>
      <c r="G368" s="77" t="s">
        <v>1806</v>
      </c>
    </row>
    <row r="369" spans="1:7" ht="48" x14ac:dyDescent="0.2">
      <c r="A369" s="79">
        <v>500664</v>
      </c>
      <c r="B369" s="77" t="s">
        <v>205</v>
      </c>
      <c r="C369" s="77" t="s">
        <v>206</v>
      </c>
      <c r="D369" s="78">
        <v>562.17413999999997</v>
      </c>
      <c r="E369" s="77" t="s">
        <v>1762</v>
      </c>
      <c r="F369" s="77" t="s">
        <v>1745</v>
      </c>
      <c r="G369" s="77" t="s">
        <v>1806</v>
      </c>
    </row>
    <row r="370" spans="1:7" ht="48" x14ac:dyDescent="0.2">
      <c r="A370" s="79">
        <v>501217</v>
      </c>
      <c r="B370" s="77" t="s">
        <v>241</v>
      </c>
      <c r="C370" s="77" t="s">
        <v>242</v>
      </c>
      <c r="D370" s="78">
        <v>408.71359999999999</v>
      </c>
      <c r="E370" s="77" t="s">
        <v>1762</v>
      </c>
      <c r="F370" s="77" t="s">
        <v>1745</v>
      </c>
      <c r="G370" s="77" t="s">
        <v>1806</v>
      </c>
    </row>
    <row r="371" spans="1:7" ht="48" x14ac:dyDescent="0.2">
      <c r="A371" s="79">
        <v>501169</v>
      </c>
      <c r="B371" s="77" t="s">
        <v>248</v>
      </c>
      <c r="C371" s="77" t="s">
        <v>249</v>
      </c>
      <c r="D371" s="78">
        <v>386.92250000000001</v>
      </c>
      <c r="E371" s="77" t="s">
        <v>1762</v>
      </c>
      <c r="F371" s="77" t="s">
        <v>1292</v>
      </c>
      <c r="G371" s="77" t="s">
        <v>1808</v>
      </c>
    </row>
    <row r="372" spans="1:7" ht="48" x14ac:dyDescent="0.2">
      <c r="A372" s="79">
        <v>500166</v>
      </c>
      <c r="B372" s="77" t="s">
        <v>297</v>
      </c>
      <c r="C372" s="77" t="s">
        <v>298</v>
      </c>
      <c r="D372" s="78">
        <v>248.38288</v>
      </c>
      <c r="E372" s="77" t="s">
        <v>1762</v>
      </c>
      <c r="F372" s="77" t="s">
        <v>1745</v>
      </c>
      <c r="G372" s="77" t="s">
        <v>1806</v>
      </c>
    </row>
    <row r="373" spans="1:7" ht="48" x14ac:dyDescent="0.2">
      <c r="A373" s="79">
        <v>500026</v>
      </c>
      <c r="B373" s="77" t="s">
        <v>336</v>
      </c>
      <c r="C373" s="77" t="s">
        <v>337</v>
      </c>
      <c r="D373" s="78">
        <v>181.08473000000001</v>
      </c>
      <c r="E373" s="77" t="s">
        <v>1762</v>
      </c>
      <c r="F373" s="77" t="s">
        <v>1745</v>
      </c>
      <c r="G373" s="77" t="s">
        <v>1806</v>
      </c>
    </row>
    <row r="374" spans="1:7" ht="48" x14ac:dyDescent="0.2">
      <c r="A374" s="79">
        <v>501135</v>
      </c>
      <c r="B374" s="77" t="s">
        <v>338</v>
      </c>
      <c r="C374" s="77" t="s">
        <v>339</v>
      </c>
      <c r="D374" s="78">
        <v>177.28579999999999</v>
      </c>
      <c r="E374" s="77" t="s">
        <v>1762</v>
      </c>
      <c r="F374" s="77" t="s">
        <v>75</v>
      </c>
      <c r="G374" s="77" t="s">
        <v>1807</v>
      </c>
    </row>
    <row r="375" spans="1:7" ht="48" x14ac:dyDescent="0.2">
      <c r="A375" s="79">
        <v>501016</v>
      </c>
      <c r="B375" s="77" t="s">
        <v>342</v>
      </c>
      <c r="C375" s="77" t="s">
        <v>343</v>
      </c>
      <c r="D375" s="78">
        <v>169.89812000000001</v>
      </c>
      <c r="E375" s="77" t="s">
        <v>1762</v>
      </c>
      <c r="F375" s="77" t="s">
        <v>1745</v>
      </c>
      <c r="G375" s="77" t="s">
        <v>1806</v>
      </c>
    </row>
    <row r="376" spans="1:7" ht="48" x14ac:dyDescent="0.2">
      <c r="A376" s="79">
        <v>500167</v>
      </c>
      <c r="B376" s="77" t="s">
        <v>348</v>
      </c>
      <c r="C376" s="77" t="s">
        <v>349</v>
      </c>
      <c r="D376" s="78">
        <v>165.3552</v>
      </c>
      <c r="E376" s="77" t="s">
        <v>1762</v>
      </c>
      <c r="F376" s="77" t="s">
        <v>1745</v>
      </c>
      <c r="G376" s="77" t="s">
        <v>1806</v>
      </c>
    </row>
    <row r="377" spans="1:7" ht="48" x14ac:dyDescent="0.2">
      <c r="A377" s="79">
        <v>501194</v>
      </c>
      <c r="B377" s="77" t="s">
        <v>370</v>
      </c>
      <c r="C377" s="77" t="s">
        <v>371</v>
      </c>
      <c r="D377" s="78">
        <v>142.09163000000001</v>
      </c>
      <c r="E377" s="77" t="s">
        <v>1762</v>
      </c>
      <c r="F377" s="77" t="s">
        <v>75</v>
      </c>
      <c r="G377" s="77" t="s">
        <v>1807</v>
      </c>
    </row>
    <row r="378" spans="1:7" ht="48" x14ac:dyDescent="0.2">
      <c r="A378" s="79">
        <v>501253</v>
      </c>
      <c r="B378" s="77" t="s">
        <v>384</v>
      </c>
      <c r="C378" s="77" t="s">
        <v>385</v>
      </c>
      <c r="D378" s="78">
        <v>129.08204000000001</v>
      </c>
      <c r="E378" s="77" t="s">
        <v>1762</v>
      </c>
      <c r="F378" s="77" t="s">
        <v>1833</v>
      </c>
      <c r="G378" s="77" t="s">
        <v>1846</v>
      </c>
    </row>
    <row r="379" spans="1:7" ht="48" x14ac:dyDescent="0.2">
      <c r="A379" s="79">
        <v>500027</v>
      </c>
      <c r="B379" s="77" t="s">
        <v>388</v>
      </c>
      <c r="C379" s="77" t="s">
        <v>389</v>
      </c>
      <c r="D379" s="78">
        <v>120.68516</v>
      </c>
      <c r="E379" s="77" t="s">
        <v>1762</v>
      </c>
      <c r="F379" s="77" t="s">
        <v>1745</v>
      </c>
      <c r="G379" s="77" t="s">
        <v>1806</v>
      </c>
    </row>
    <row r="380" spans="1:7" ht="48" x14ac:dyDescent="0.2">
      <c r="A380" s="79">
        <v>500186</v>
      </c>
      <c r="B380" s="77" t="s">
        <v>432</v>
      </c>
      <c r="C380" s="77" t="s">
        <v>433</v>
      </c>
      <c r="D380" s="78">
        <v>80.992699999999999</v>
      </c>
      <c r="E380" s="77" t="s">
        <v>1762</v>
      </c>
      <c r="F380" s="77" t="s">
        <v>75</v>
      </c>
      <c r="G380" s="77" t="s">
        <v>1807</v>
      </c>
    </row>
    <row r="381" spans="1:7" ht="48" x14ac:dyDescent="0.2">
      <c r="A381" s="79">
        <v>501197</v>
      </c>
      <c r="B381" s="77" t="s">
        <v>452</v>
      </c>
      <c r="C381" s="77" t="s">
        <v>453</v>
      </c>
      <c r="D381" s="78">
        <v>69.781660000000002</v>
      </c>
      <c r="E381" s="77" t="s">
        <v>1762</v>
      </c>
      <c r="F381" s="77" t="s">
        <v>1745</v>
      </c>
      <c r="G381" s="77" t="s">
        <v>1806</v>
      </c>
    </row>
    <row r="382" spans="1:7" ht="48" x14ac:dyDescent="0.2">
      <c r="A382" s="79">
        <v>502006</v>
      </c>
      <c r="B382" s="77" t="s">
        <v>538</v>
      </c>
      <c r="C382" s="77" t="s">
        <v>539</v>
      </c>
      <c r="D382" s="78">
        <v>26.040379999999999</v>
      </c>
      <c r="E382" s="77" t="s">
        <v>1762</v>
      </c>
      <c r="F382" s="77" t="s">
        <v>1833</v>
      </c>
      <c r="G382" s="77" t="s">
        <v>1846</v>
      </c>
    </row>
    <row r="383" spans="1:7" ht="48" x14ac:dyDescent="0.2">
      <c r="A383" s="79">
        <v>501195</v>
      </c>
      <c r="B383" s="77" t="s">
        <v>584</v>
      </c>
      <c r="C383" s="77" t="s">
        <v>585</v>
      </c>
      <c r="D383" s="78">
        <v>15.957000000000001</v>
      </c>
      <c r="E383" s="77" t="s">
        <v>1762</v>
      </c>
      <c r="F383" s="77" t="s">
        <v>1292</v>
      </c>
      <c r="G383" s="77" t="s">
        <v>1808</v>
      </c>
    </row>
    <row r="384" spans="1:7" ht="48" x14ac:dyDescent="0.2">
      <c r="A384" s="79">
        <v>500116</v>
      </c>
      <c r="B384" s="77" t="s">
        <v>673</v>
      </c>
      <c r="C384" s="77" t="s">
        <v>674</v>
      </c>
      <c r="D384" s="78">
        <v>5.3954399999999998</v>
      </c>
      <c r="E384" s="77" t="s">
        <v>1762</v>
      </c>
      <c r="F384" s="77" t="s">
        <v>1833</v>
      </c>
      <c r="G384" s="77" t="s">
        <v>1846</v>
      </c>
    </row>
    <row r="385" spans="1:7" ht="48" x14ac:dyDescent="0.2">
      <c r="A385" s="79">
        <v>500755</v>
      </c>
      <c r="B385" s="77" t="s">
        <v>680</v>
      </c>
      <c r="C385" s="77" t="s">
        <v>681</v>
      </c>
      <c r="D385" s="78">
        <v>4.8769799999999996</v>
      </c>
      <c r="E385" s="77" t="s">
        <v>1762</v>
      </c>
      <c r="F385" s="77" t="s">
        <v>1833</v>
      </c>
      <c r="G385" s="77" t="s">
        <v>1846</v>
      </c>
    </row>
    <row r="386" spans="1:7" ht="48" x14ac:dyDescent="0.2">
      <c r="A386" s="79">
        <v>501137</v>
      </c>
      <c r="B386" s="77" t="s">
        <v>724</v>
      </c>
      <c r="C386" s="77" t="s">
        <v>725</v>
      </c>
      <c r="D386" s="78">
        <v>2.1150000000000002</v>
      </c>
      <c r="E386" s="77" t="s">
        <v>1762</v>
      </c>
      <c r="F386" s="77" t="s">
        <v>1745</v>
      </c>
      <c r="G386" s="77" t="s">
        <v>1806</v>
      </c>
    </row>
    <row r="387" spans="1:7" ht="48" x14ac:dyDescent="0.2">
      <c r="A387" s="79">
        <v>500199</v>
      </c>
      <c r="B387" s="77" t="s">
        <v>750</v>
      </c>
      <c r="C387" s="77" t="s">
        <v>751</v>
      </c>
      <c r="D387" s="78">
        <v>1.464</v>
      </c>
      <c r="E387" s="77" t="s">
        <v>1762</v>
      </c>
      <c r="F387" s="77" t="s">
        <v>1745</v>
      </c>
      <c r="G387" s="77" t="s">
        <v>1806</v>
      </c>
    </row>
    <row r="388" spans="1:7" ht="48" x14ac:dyDescent="0.2">
      <c r="A388" s="79">
        <v>501196</v>
      </c>
      <c r="B388" s="77" t="s">
        <v>752</v>
      </c>
      <c r="C388" s="77" t="s">
        <v>753</v>
      </c>
      <c r="D388" s="78">
        <v>1.3140000000000001</v>
      </c>
      <c r="E388" s="77" t="s">
        <v>1762</v>
      </c>
      <c r="F388" s="77" t="s">
        <v>1833</v>
      </c>
      <c r="G388" s="77" t="s">
        <v>1846</v>
      </c>
    </row>
    <row r="389" spans="1:7" ht="48" x14ac:dyDescent="0.2">
      <c r="A389" s="79">
        <v>502011</v>
      </c>
      <c r="B389" s="77" t="s">
        <v>802</v>
      </c>
      <c r="C389" s="77" t="s">
        <v>803</v>
      </c>
      <c r="D389" s="78">
        <v>0.22800000000000001</v>
      </c>
      <c r="E389" s="77" t="s">
        <v>1762</v>
      </c>
      <c r="F389" s="77" t="s">
        <v>1833</v>
      </c>
      <c r="G389" s="77" t="s">
        <v>1846</v>
      </c>
    </row>
    <row r="390" spans="1:7" ht="32" x14ac:dyDescent="0.2">
      <c r="A390" s="79">
        <v>500118</v>
      </c>
      <c r="B390" s="77" t="s">
        <v>124</v>
      </c>
      <c r="C390" s="77" t="s">
        <v>125</v>
      </c>
      <c r="D390" s="78">
        <v>1555.89265</v>
      </c>
      <c r="E390" s="77" t="s">
        <v>1764</v>
      </c>
      <c r="F390" s="77" t="s">
        <v>1745</v>
      </c>
      <c r="G390" s="77" t="s">
        <v>1809</v>
      </c>
    </row>
    <row r="391" spans="1:7" ht="32" x14ac:dyDescent="0.2">
      <c r="A391" s="79">
        <v>500221</v>
      </c>
      <c r="B391" s="77" t="s">
        <v>126</v>
      </c>
      <c r="C391" s="77" t="s">
        <v>127</v>
      </c>
      <c r="D391" s="78">
        <v>1525.8499099999999</v>
      </c>
      <c r="E391" s="77" t="s">
        <v>1764</v>
      </c>
      <c r="F391" s="77" t="s">
        <v>75</v>
      </c>
      <c r="G391" s="77" t="s">
        <v>1810</v>
      </c>
    </row>
    <row r="392" spans="1:7" ht="32" x14ac:dyDescent="0.2">
      <c r="A392" s="79">
        <v>500117</v>
      </c>
      <c r="B392" s="77" t="s">
        <v>146</v>
      </c>
      <c r="C392" s="77" t="s">
        <v>147</v>
      </c>
      <c r="D392" s="78">
        <v>1003.55704</v>
      </c>
      <c r="E392" s="77" t="s">
        <v>1764</v>
      </c>
      <c r="F392" s="77" t="s">
        <v>1745</v>
      </c>
      <c r="G392" s="77" t="s">
        <v>1809</v>
      </c>
    </row>
    <row r="393" spans="1:7" ht="32" x14ac:dyDescent="0.2">
      <c r="A393" s="79">
        <v>501000</v>
      </c>
      <c r="B393" s="77" t="s">
        <v>149</v>
      </c>
      <c r="C393" s="77" t="s">
        <v>150</v>
      </c>
      <c r="D393" s="78">
        <v>947.80843000000004</v>
      </c>
      <c r="E393" s="77" t="s">
        <v>1764</v>
      </c>
      <c r="F393" s="77" t="s">
        <v>75</v>
      </c>
      <c r="G393" s="77" t="s">
        <v>1810</v>
      </c>
    </row>
    <row r="394" spans="1:7" ht="32" x14ac:dyDescent="0.2">
      <c r="A394" s="79">
        <v>501036</v>
      </c>
      <c r="B394" s="77" t="s">
        <v>155</v>
      </c>
      <c r="C394" s="77" t="s">
        <v>156</v>
      </c>
      <c r="D394" s="78">
        <v>860.70141999999998</v>
      </c>
      <c r="E394" s="77" t="s">
        <v>1764</v>
      </c>
      <c r="F394" s="77" t="s">
        <v>1292</v>
      </c>
      <c r="G394" s="77" t="s">
        <v>1811</v>
      </c>
    </row>
    <row r="395" spans="1:7" ht="32" x14ac:dyDescent="0.2">
      <c r="A395" s="79">
        <v>501034</v>
      </c>
      <c r="B395" s="77" t="s">
        <v>161</v>
      </c>
      <c r="C395" s="77" t="s">
        <v>162</v>
      </c>
      <c r="D395" s="78">
        <v>848.76009999999997</v>
      </c>
      <c r="E395" s="77" t="s">
        <v>1764</v>
      </c>
      <c r="F395" s="77" t="s">
        <v>75</v>
      </c>
      <c r="G395" s="77" t="s">
        <v>1810</v>
      </c>
    </row>
    <row r="396" spans="1:7" ht="32" x14ac:dyDescent="0.2">
      <c r="A396" s="79">
        <v>500121</v>
      </c>
      <c r="B396" s="77" t="s">
        <v>163</v>
      </c>
      <c r="C396" s="77" t="s">
        <v>164</v>
      </c>
      <c r="D396" s="78">
        <v>846.64329999999995</v>
      </c>
      <c r="E396" s="77" t="s">
        <v>1764</v>
      </c>
      <c r="F396" s="77" t="s">
        <v>75</v>
      </c>
      <c r="G396" s="77" t="s">
        <v>1810</v>
      </c>
    </row>
    <row r="397" spans="1:7" ht="32" x14ac:dyDescent="0.2">
      <c r="A397" s="79">
        <v>500644</v>
      </c>
      <c r="B397" s="77" t="s">
        <v>193</v>
      </c>
      <c r="C397" s="77" t="s">
        <v>194</v>
      </c>
      <c r="D397" s="78">
        <v>607.19393000000002</v>
      </c>
      <c r="E397" s="77" t="s">
        <v>1764</v>
      </c>
      <c r="F397" s="77" t="s">
        <v>1745</v>
      </c>
      <c r="G397" s="77" t="s">
        <v>1809</v>
      </c>
    </row>
    <row r="398" spans="1:7" ht="32" x14ac:dyDescent="0.2">
      <c r="A398" s="79">
        <v>500122</v>
      </c>
      <c r="B398" s="77" t="s">
        <v>195</v>
      </c>
      <c r="C398" s="77" t="s">
        <v>196</v>
      </c>
      <c r="D398" s="78">
        <v>590.80029000000002</v>
      </c>
      <c r="E398" s="77" t="s">
        <v>1764</v>
      </c>
      <c r="F398" s="77" t="s">
        <v>1745</v>
      </c>
      <c r="G398" s="77" t="s">
        <v>1809</v>
      </c>
    </row>
    <row r="399" spans="1:7" ht="32" x14ac:dyDescent="0.2">
      <c r="A399" s="79">
        <v>500078</v>
      </c>
      <c r="B399" s="77" t="s">
        <v>203</v>
      </c>
      <c r="C399" s="77" t="s">
        <v>204</v>
      </c>
      <c r="D399" s="78">
        <v>568.14471000000003</v>
      </c>
      <c r="E399" s="77" t="s">
        <v>1764</v>
      </c>
      <c r="F399" s="77" t="s">
        <v>1745</v>
      </c>
      <c r="G399" s="77" t="s">
        <v>1809</v>
      </c>
    </row>
    <row r="400" spans="1:7" ht="32" x14ac:dyDescent="0.2">
      <c r="A400" s="79">
        <v>500073</v>
      </c>
      <c r="B400" s="77" t="s">
        <v>235</v>
      </c>
      <c r="C400" s="77" t="s">
        <v>236</v>
      </c>
      <c r="D400" s="78">
        <v>429.02123</v>
      </c>
      <c r="E400" s="77" t="s">
        <v>1764</v>
      </c>
      <c r="F400" s="77" t="s">
        <v>1745</v>
      </c>
      <c r="G400" s="77" t="s">
        <v>1809</v>
      </c>
    </row>
    <row r="401" spans="1:7" ht="32" x14ac:dyDescent="0.2">
      <c r="A401" s="79">
        <v>500075</v>
      </c>
      <c r="B401" s="77" t="s">
        <v>250</v>
      </c>
      <c r="C401" s="77" t="s">
        <v>251</v>
      </c>
      <c r="D401" s="78">
        <v>380.16752000000002</v>
      </c>
      <c r="E401" s="77" t="s">
        <v>1764</v>
      </c>
      <c r="F401" s="77" t="s">
        <v>1745</v>
      </c>
      <c r="G401" s="77" t="s">
        <v>1809</v>
      </c>
    </row>
    <row r="402" spans="1:7" ht="32" x14ac:dyDescent="0.2">
      <c r="A402" s="79">
        <v>500079</v>
      </c>
      <c r="B402" s="77" t="s">
        <v>256</v>
      </c>
      <c r="C402" s="77" t="s">
        <v>257</v>
      </c>
      <c r="D402" s="78">
        <v>370.16883000000001</v>
      </c>
      <c r="E402" s="77" t="s">
        <v>1764</v>
      </c>
      <c r="F402" s="77" t="s">
        <v>1745</v>
      </c>
      <c r="G402" s="77" t="s">
        <v>1809</v>
      </c>
    </row>
    <row r="403" spans="1:7" ht="32" x14ac:dyDescent="0.2">
      <c r="A403" s="79">
        <v>500937</v>
      </c>
      <c r="B403" s="77" t="s">
        <v>269</v>
      </c>
      <c r="C403" s="77" t="s">
        <v>270</v>
      </c>
      <c r="D403" s="78">
        <v>311.32711</v>
      </c>
      <c r="E403" s="77" t="s">
        <v>1764</v>
      </c>
      <c r="F403" s="77" t="s">
        <v>1745</v>
      </c>
      <c r="G403" s="77" t="s">
        <v>1809</v>
      </c>
    </row>
    <row r="404" spans="1:7" ht="32" x14ac:dyDescent="0.2">
      <c r="A404" s="79">
        <v>500076</v>
      </c>
      <c r="B404" s="77" t="s">
        <v>279</v>
      </c>
      <c r="C404" s="77" t="s">
        <v>280</v>
      </c>
      <c r="D404" s="78">
        <v>306.19776000000002</v>
      </c>
      <c r="E404" s="77" t="s">
        <v>1764</v>
      </c>
      <c r="F404" s="77" t="s">
        <v>1745</v>
      </c>
      <c r="G404" s="77" t="s">
        <v>1809</v>
      </c>
    </row>
    <row r="405" spans="1:7" ht="32" x14ac:dyDescent="0.2">
      <c r="A405" s="79">
        <v>501021</v>
      </c>
      <c r="B405" s="77" t="s">
        <v>293</v>
      </c>
      <c r="C405" s="77" t="s">
        <v>294</v>
      </c>
      <c r="D405" s="78">
        <v>261.24793</v>
      </c>
      <c r="E405" s="77" t="s">
        <v>1764</v>
      </c>
      <c r="F405" s="77" t="s">
        <v>75</v>
      </c>
      <c r="G405" s="77" t="s">
        <v>1810</v>
      </c>
    </row>
    <row r="406" spans="1:7" ht="32" x14ac:dyDescent="0.2">
      <c r="A406" s="79">
        <v>500105</v>
      </c>
      <c r="B406" s="77" t="s">
        <v>305</v>
      </c>
      <c r="C406" s="77" t="s">
        <v>306</v>
      </c>
      <c r="D406" s="78">
        <v>227.28102000000001</v>
      </c>
      <c r="E406" s="77" t="s">
        <v>1764</v>
      </c>
      <c r="F406" s="77" t="s">
        <v>1745</v>
      </c>
      <c r="G406" s="77" t="s">
        <v>1809</v>
      </c>
    </row>
    <row r="407" spans="1:7" ht="32" x14ac:dyDescent="0.2">
      <c r="A407" s="79">
        <v>501020</v>
      </c>
      <c r="B407" s="77" t="s">
        <v>325</v>
      </c>
      <c r="C407" s="77" t="s">
        <v>326</v>
      </c>
      <c r="D407" s="78">
        <v>194.38413</v>
      </c>
      <c r="E407" s="77" t="s">
        <v>1764</v>
      </c>
      <c r="F407" s="77" t="s">
        <v>1745</v>
      </c>
      <c r="G407" s="77" t="s">
        <v>1809</v>
      </c>
    </row>
    <row r="408" spans="1:7" ht="32" x14ac:dyDescent="0.2">
      <c r="A408" s="79">
        <v>500083</v>
      </c>
      <c r="B408" s="77" t="s">
        <v>329</v>
      </c>
      <c r="C408" s="77" t="s">
        <v>330</v>
      </c>
      <c r="D408" s="78">
        <v>186.24250000000001</v>
      </c>
      <c r="E408" s="77" t="s">
        <v>1764</v>
      </c>
      <c r="F408" s="77" t="s">
        <v>1745</v>
      </c>
      <c r="G408" s="77" t="s">
        <v>1809</v>
      </c>
    </row>
    <row r="409" spans="1:7" ht="32" x14ac:dyDescent="0.2">
      <c r="A409" s="79">
        <v>500178</v>
      </c>
      <c r="B409" s="77" t="s">
        <v>340</v>
      </c>
      <c r="C409" s="77" t="s">
        <v>341</v>
      </c>
      <c r="D409" s="78">
        <v>174.65122</v>
      </c>
      <c r="E409" s="77" t="s">
        <v>1764</v>
      </c>
      <c r="F409" s="77" t="s">
        <v>1745</v>
      </c>
      <c r="G409" s="77" t="s">
        <v>1809</v>
      </c>
    </row>
    <row r="410" spans="1:7" ht="48" x14ac:dyDescent="0.2">
      <c r="A410" s="79">
        <v>500161</v>
      </c>
      <c r="B410" s="77" t="s">
        <v>352</v>
      </c>
      <c r="C410" s="77" t="s">
        <v>353</v>
      </c>
      <c r="D410" s="78">
        <v>162.20493999999999</v>
      </c>
      <c r="E410" s="77" t="s">
        <v>1764</v>
      </c>
      <c r="F410" s="77" t="s">
        <v>1833</v>
      </c>
      <c r="G410" s="77" t="s">
        <v>1847</v>
      </c>
    </row>
    <row r="411" spans="1:7" ht="32" x14ac:dyDescent="0.2">
      <c r="A411" s="79">
        <v>501017</v>
      </c>
      <c r="B411" s="77" t="s">
        <v>358</v>
      </c>
      <c r="C411" s="77" t="s">
        <v>359</v>
      </c>
      <c r="D411" s="78">
        <v>156.6609</v>
      </c>
      <c r="E411" s="77" t="s">
        <v>1764</v>
      </c>
      <c r="F411" s="77" t="s">
        <v>1745</v>
      </c>
      <c r="G411" s="77" t="s">
        <v>1809</v>
      </c>
    </row>
    <row r="412" spans="1:7" ht="32" x14ac:dyDescent="0.2">
      <c r="A412" s="79">
        <v>500080</v>
      </c>
      <c r="B412" s="77" t="s">
        <v>366</v>
      </c>
      <c r="C412" s="77" t="s">
        <v>367</v>
      </c>
      <c r="D412" s="78">
        <v>147.63972999999999</v>
      </c>
      <c r="E412" s="77" t="s">
        <v>1764</v>
      </c>
      <c r="F412" s="77" t="s">
        <v>1745</v>
      </c>
      <c r="G412" s="77" t="s">
        <v>1809</v>
      </c>
    </row>
    <row r="413" spans="1:7" ht="32" x14ac:dyDescent="0.2">
      <c r="A413" s="79">
        <v>501019</v>
      </c>
      <c r="B413" s="77" t="s">
        <v>390</v>
      </c>
      <c r="C413" s="77" t="s">
        <v>391</v>
      </c>
      <c r="D413" s="78">
        <v>118.88652</v>
      </c>
      <c r="E413" s="77" t="s">
        <v>1764</v>
      </c>
      <c r="F413" s="77" t="s">
        <v>1745</v>
      </c>
      <c r="G413" s="77" t="s">
        <v>1809</v>
      </c>
    </row>
    <row r="414" spans="1:7" ht="48" x14ac:dyDescent="0.2">
      <c r="A414" s="79">
        <v>500029</v>
      </c>
      <c r="B414" s="77" t="s">
        <v>409</v>
      </c>
      <c r="C414" s="77" t="s">
        <v>410</v>
      </c>
      <c r="D414" s="78">
        <v>93.202910000000003</v>
      </c>
      <c r="E414" s="77" t="s">
        <v>1764</v>
      </c>
      <c r="F414" s="77" t="s">
        <v>1833</v>
      </c>
      <c r="G414" s="77" t="s">
        <v>1847</v>
      </c>
    </row>
    <row r="415" spans="1:7" ht="48" x14ac:dyDescent="0.2">
      <c r="A415" s="79">
        <v>500858</v>
      </c>
      <c r="B415" s="77" t="s">
        <v>417</v>
      </c>
      <c r="C415" s="77" t="s">
        <v>418</v>
      </c>
      <c r="D415" s="78">
        <v>89.949470000000005</v>
      </c>
      <c r="E415" s="77" t="s">
        <v>1764</v>
      </c>
      <c r="F415" s="77" t="s">
        <v>1833</v>
      </c>
      <c r="G415" s="77" t="s">
        <v>1847</v>
      </c>
    </row>
    <row r="416" spans="1:7" ht="32" x14ac:dyDescent="0.2">
      <c r="A416" s="79">
        <v>500074</v>
      </c>
      <c r="B416" s="77" t="s">
        <v>419</v>
      </c>
      <c r="C416" s="77" t="s">
        <v>420</v>
      </c>
      <c r="D416" s="78">
        <v>89.75985</v>
      </c>
      <c r="E416" s="77" t="s">
        <v>1764</v>
      </c>
      <c r="F416" s="77" t="s">
        <v>1745</v>
      </c>
      <c r="G416" s="77" t="s">
        <v>1809</v>
      </c>
    </row>
    <row r="417" spans="1:7" ht="48" x14ac:dyDescent="0.2">
      <c r="A417" s="79">
        <v>500843</v>
      </c>
      <c r="B417" s="77" t="s">
        <v>424</v>
      </c>
      <c r="C417" s="77" t="s">
        <v>425</v>
      </c>
      <c r="D417" s="78">
        <v>86.590689999999995</v>
      </c>
      <c r="E417" s="77" t="s">
        <v>1764</v>
      </c>
      <c r="F417" s="77" t="s">
        <v>1833</v>
      </c>
      <c r="G417" s="77" t="s">
        <v>1847</v>
      </c>
    </row>
    <row r="418" spans="1:7" ht="32" x14ac:dyDescent="0.2">
      <c r="A418" s="79">
        <v>501018</v>
      </c>
      <c r="B418" s="77" t="s">
        <v>430</v>
      </c>
      <c r="C418" s="77" t="s">
        <v>431</v>
      </c>
      <c r="D418" s="78">
        <v>81.489900000000006</v>
      </c>
      <c r="E418" s="77" t="s">
        <v>1764</v>
      </c>
      <c r="F418" s="77" t="s">
        <v>1745</v>
      </c>
      <c r="G418" s="77" t="s">
        <v>1809</v>
      </c>
    </row>
    <row r="419" spans="1:7" ht="32" x14ac:dyDescent="0.2">
      <c r="A419" s="79">
        <v>500081</v>
      </c>
      <c r="B419" s="77" t="s">
        <v>454</v>
      </c>
      <c r="C419" s="77" t="s">
        <v>455</v>
      </c>
      <c r="D419" s="78">
        <v>69.516540000000006</v>
      </c>
      <c r="E419" s="77" t="s">
        <v>1764</v>
      </c>
      <c r="F419" s="77" t="s">
        <v>1745</v>
      </c>
      <c r="G419" s="77" t="s">
        <v>1809</v>
      </c>
    </row>
    <row r="420" spans="1:7" ht="48" x14ac:dyDescent="0.2">
      <c r="A420" s="79">
        <v>500111</v>
      </c>
      <c r="B420" s="77" t="s">
        <v>458</v>
      </c>
      <c r="C420" s="77" t="s">
        <v>459</v>
      </c>
      <c r="D420" s="78">
        <v>66.49588</v>
      </c>
      <c r="E420" s="77" t="s">
        <v>1764</v>
      </c>
      <c r="F420" s="77" t="s">
        <v>1833</v>
      </c>
      <c r="G420" s="77" t="s">
        <v>1847</v>
      </c>
    </row>
    <row r="421" spans="1:7" ht="32" x14ac:dyDescent="0.2">
      <c r="A421" s="79">
        <v>500082</v>
      </c>
      <c r="B421" s="77" t="s">
        <v>470</v>
      </c>
      <c r="C421" s="77" t="s">
        <v>471</v>
      </c>
      <c r="D421" s="78">
        <v>58.836910000000003</v>
      </c>
      <c r="E421" s="77" t="s">
        <v>1764</v>
      </c>
      <c r="F421" s="77" t="s">
        <v>1745</v>
      </c>
      <c r="G421" s="77" t="s">
        <v>1809</v>
      </c>
    </row>
    <row r="422" spans="1:7" ht="32" x14ac:dyDescent="0.2">
      <c r="A422" s="79">
        <v>500077</v>
      </c>
      <c r="B422" s="77" t="s">
        <v>488</v>
      </c>
      <c r="C422" s="77" t="s">
        <v>489</v>
      </c>
      <c r="D422" s="78">
        <v>48.610329999999998</v>
      </c>
      <c r="E422" s="77" t="s">
        <v>1764</v>
      </c>
      <c r="F422" s="77" t="s">
        <v>1745</v>
      </c>
      <c r="G422" s="77" t="s">
        <v>1809</v>
      </c>
    </row>
    <row r="423" spans="1:7" ht="32" x14ac:dyDescent="0.2">
      <c r="A423" s="79">
        <v>500006</v>
      </c>
      <c r="B423" s="77" t="s">
        <v>514</v>
      </c>
      <c r="C423" s="77" t="s">
        <v>515</v>
      </c>
      <c r="D423" s="78">
        <v>35.868040000000001</v>
      </c>
      <c r="E423" s="77" t="s">
        <v>1764</v>
      </c>
      <c r="F423" s="77" t="s">
        <v>1745</v>
      </c>
      <c r="G423" s="77" t="s">
        <v>1809</v>
      </c>
    </row>
    <row r="424" spans="1:7" ht="48" x14ac:dyDescent="0.2">
      <c r="A424" s="79">
        <v>500857</v>
      </c>
      <c r="B424" s="77" t="s">
        <v>518</v>
      </c>
      <c r="C424" s="77" t="s">
        <v>519</v>
      </c>
      <c r="D424" s="78">
        <v>34.899610000000003</v>
      </c>
      <c r="E424" s="77" t="s">
        <v>1764</v>
      </c>
      <c r="F424" s="77" t="s">
        <v>1833</v>
      </c>
      <c r="G424" s="77" t="s">
        <v>1847</v>
      </c>
    </row>
    <row r="425" spans="1:7" ht="32" x14ac:dyDescent="0.2">
      <c r="A425" s="79">
        <v>500084</v>
      </c>
      <c r="B425" s="77" t="s">
        <v>536</v>
      </c>
      <c r="C425" s="77" t="s">
        <v>537</v>
      </c>
      <c r="D425" s="78">
        <v>27.575559999999999</v>
      </c>
      <c r="E425" s="77" t="s">
        <v>1764</v>
      </c>
      <c r="F425" s="77" t="s">
        <v>1745</v>
      </c>
      <c r="G425" s="77" t="s">
        <v>1809</v>
      </c>
    </row>
    <row r="426" spans="1:7" ht="32" x14ac:dyDescent="0.2">
      <c r="A426" s="79">
        <v>500042</v>
      </c>
      <c r="B426" s="77" t="s">
        <v>635</v>
      </c>
      <c r="C426" s="77" t="s">
        <v>636</v>
      </c>
      <c r="D426" s="78">
        <v>7.4188599999999996</v>
      </c>
      <c r="E426" s="77" t="s">
        <v>1764</v>
      </c>
      <c r="F426" s="77" t="s">
        <v>1745</v>
      </c>
      <c r="G426" s="77" t="s">
        <v>1809</v>
      </c>
    </row>
    <row r="427" spans="1:7" ht="48" x14ac:dyDescent="0.2">
      <c r="A427" s="79">
        <v>500700</v>
      </c>
      <c r="B427" s="77" t="s">
        <v>639</v>
      </c>
      <c r="C427" s="77" t="s">
        <v>640</v>
      </c>
      <c r="D427" s="78">
        <v>7.4013</v>
      </c>
      <c r="E427" s="77" t="s">
        <v>1764</v>
      </c>
      <c r="F427" s="77" t="s">
        <v>1833</v>
      </c>
      <c r="G427" s="77" t="s">
        <v>1847</v>
      </c>
    </row>
    <row r="428" spans="1:7" ht="32" x14ac:dyDescent="0.2">
      <c r="A428" s="79">
        <v>500311</v>
      </c>
      <c r="B428" s="77" t="s">
        <v>649</v>
      </c>
      <c r="C428" s="77" t="s">
        <v>650</v>
      </c>
      <c r="D428" s="78">
        <v>6.5045000000000002</v>
      </c>
      <c r="E428" s="77" t="s">
        <v>1764</v>
      </c>
      <c r="F428" s="77" t="s">
        <v>75</v>
      </c>
      <c r="G428" s="77" t="s">
        <v>1810</v>
      </c>
    </row>
    <row r="429" spans="1:7" ht="32" x14ac:dyDescent="0.2">
      <c r="A429" s="79">
        <v>500018</v>
      </c>
      <c r="B429" s="77" t="s">
        <v>684</v>
      </c>
      <c r="C429" s="77" t="s">
        <v>685</v>
      </c>
      <c r="D429" s="78">
        <v>3.8378999999999999</v>
      </c>
      <c r="E429" s="77" t="s">
        <v>1764</v>
      </c>
      <c r="F429" s="77" t="s">
        <v>1745</v>
      </c>
      <c r="G429" s="77" t="s">
        <v>1809</v>
      </c>
    </row>
    <row r="430" spans="1:7" ht="48" x14ac:dyDescent="0.2">
      <c r="A430" s="79">
        <v>500609</v>
      </c>
      <c r="B430" s="77" t="s">
        <v>718</v>
      </c>
      <c r="C430" s="77" t="s">
        <v>719</v>
      </c>
      <c r="D430" s="78">
        <v>2.1779999999999999</v>
      </c>
      <c r="E430" s="77" t="s">
        <v>1764</v>
      </c>
      <c r="F430" s="77" t="s">
        <v>1833</v>
      </c>
      <c r="G430" s="77" t="s">
        <v>1847</v>
      </c>
    </row>
    <row r="431" spans="1:7" ht="48" x14ac:dyDescent="0.2">
      <c r="A431" s="79">
        <v>500890</v>
      </c>
      <c r="B431" s="77" t="s">
        <v>775</v>
      </c>
      <c r="C431" s="77" t="s">
        <v>776</v>
      </c>
      <c r="D431" s="78">
        <v>0.54600000000000004</v>
      </c>
      <c r="E431" s="77" t="s">
        <v>1764</v>
      </c>
      <c r="F431" s="77" t="s">
        <v>1833</v>
      </c>
      <c r="G431" s="77" t="s">
        <v>1847</v>
      </c>
    </row>
    <row r="432" spans="1:7" ht="32" x14ac:dyDescent="0.2">
      <c r="A432" s="79">
        <v>500751</v>
      </c>
      <c r="B432" s="77" t="s">
        <v>138</v>
      </c>
      <c r="C432" s="77" t="s">
        <v>139</v>
      </c>
      <c r="D432" s="78">
        <v>1268.02421</v>
      </c>
      <c r="E432" s="77" t="s">
        <v>1766</v>
      </c>
      <c r="F432" s="77" t="s">
        <v>75</v>
      </c>
      <c r="G432" s="77" t="s">
        <v>1813</v>
      </c>
    </row>
    <row r="433" spans="1:7" ht="32" x14ac:dyDescent="0.2">
      <c r="A433" s="79">
        <v>500936</v>
      </c>
      <c r="B433" s="77" t="s">
        <v>191</v>
      </c>
      <c r="C433" s="77" t="s">
        <v>192</v>
      </c>
      <c r="D433" s="78">
        <v>619.00048000000004</v>
      </c>
      <c r="E433" s="77" t="s">
        <v>1766</v>
      </c>
      <c r="F433" s="77" t="s">
        <v>75</v>
      </c>
      <c r="G433" s="77" t="s">
        <v>1813</v>
      </c>
    </row>
    <row r="434" spans="1:7" ht="32" x14ac:dyDescent="0.2">
      <c r="A434" s="79">
        <v>500694</v>
      </c>
      <c r="B434" s="77" t="s">
        <v>215</v>
      </c>
      <c r="C434" s="77" t="s">
        <v>216</v>
      </c>
      <c r="D434" s="78">
        <v>516.00626</v>
      </c>
      <c r="E434" s="77" t="s">
        <v>1766</v>
      </c>
      <c r="F434" s="77" t="s">
        <v>1833</v>
      </c>
      <c r="G434" s="77" t="s">
        <v>1848</v>
      </c>
    </row>
    <row r="435" spans="1:7" ht="32" x14ac:dyDescent="0.2">
      <c r="A435" s="79">
        <v>500945</v>
      </c>
      <c r="B435" s="77" t="s">
        <v>252</v>
      </c>
      <c r="C435" s="77" t="s">
        <v>253</v>
      </c>
      <c r="D435" s="78">
        <v>379.15535</v>
      </c>
      <c r="E435" s="77" t="s">
        <v>1766</v>
      </c>
      <c r="F435" s="77" t="s">
        <v>75</v>
      </c>
      <c r="G435" s="77" t="s">
        <v>1813</v>
      </c>
    </row>
    <row r="436" spans="1:7" ht="32" x14ac:dyDescent="0.2">
      <c r="A436" s="79">
        <v>500661</v>
      </c>
      <c r="B436" s="77" t="s">
        <v>265</v>
      </c>
      <c r="C436" s="77" t="s">
        <v>266</v>
      </c>
      <c r="D436" s="78">
        <v>329.06794000000002</v>
      </c>
      <c r="E436" s="77" t="s">
        <v>1766</v>
      </c>
      <c r="F436" s="77" t="s">
        <v>1745</v>
      </c>
      <c r="G436" s="77" t="s">
        <v>1812</v>
      </c>
    </row>
    <row r="437" spans="1:7" ht="32" x14ac:dyDescent="0.2">
      <c r="A437" s="79">
        <v>500935</v>
      </c>
      <c r="B437" s="77" t="s">
        <v>271</v>
      </c>
      <c r="C437" s="77" t="s">
        <v>272</v>
      </c>
      <c r="D437" s="78">
        <v>309.42698000000001</v>
      </c>
      <c r="E437" s="77" t="s">
        <v>1766</v>
      </c>
      <c r="F437" s="77" t="s">
        <v>1745</v>
      </c>
      <c r="G437" s="77" t="s">
        <v>1812</v>
      </c>
    </row>
    <row r="438" spans="1:7" ht="32" x14ac:dyDescent="0.2">
      <c r="A438" s="79">
        <v>500944</v>
      </c>
      <c r="B438" s="77" t="s">
        <v>313</v>
      </c>
      <c r="C438" s="77" t="s">
        <v>314</v>
      </c>
      <c r="D438" s="78">
        <v>211.8493</v>
      </c>
      <c r="E438" s="77" t="s">
        <v>1766</v>
      </c>
      <c r="F438" s="77" t="s">
        <v>1745</v>
      </c>
      <c r="G438" s="77" t="s">
        <v>1812</v>
      </c>
    </row>
    <row r="439" spans="1:7" ht="32" x14ac:dyDescent="0.2">
      <c r="A439" s="79">
        <v>500320</v>
      </c>
      <c r="B439" s="77" t="s">
        <v>317</v>
      </c>
      <c r="C439" s="77" t="s">
        <v>318</v>
      </c>
      <c r="D439" s="78">
        <v>211.16857999999999</v>
      </c>
      <c r="E439" s="77" t="s">
        <v>1766</v>
      </c>
      <c r="F439" s="77" t="s">
        <v>75</v>
      </c>
      <c r="G439" s="77" t="s">
        <v>1813</v>
      </c>
    </row>
    <row r="440" spans="1:7" ht="32" x14ac:dyDescent="0.2">
      <c r="A440" s="79">
        <v>500099</v>
      </c>
      <c r="B440" s="77" t="s">
        <v>362</v>
      </c>
      <c r="C440" s="77" t="s">
        <v>363</v>
      </c>
      <c r="D440" s="78">
        <v>151.03653</v>
      </c>
      <c r="E440" s="77" t="s">
        <v>1766</v>
      </c>
      <c r="F440" s="77" t="s">
        <v>1745</v>
      </c>
      <c r="G440" s="77" t="s">
        <v>1812</v>
      </c>
    </row>
    <row r="441" spans="1:7" ht="32" x14ac:dyDescent="0.2">
      <c r="A441" s="79">
        <v>500098</v>
      </c>
      <c r="B441" s="77" t="s">
        <v>374</v>
      </c>
      <c r="C441" s="77" t="s">
        <v>375</v>
      </c>
      <c r="D441" s="78">
        <v>138.99109999999999</v>
      </c>
      <c r="E441" s="77" t="s">
        <v>1766</v>
      </c>
      <c r="F441" s="77" t="s">
        <v>1833</v>
      </c>
      <c r="G441" s="77" t="s">
        <v>1848</v>
      </c>
    </row>
    <row r="442" spans="1:7" ht="32" x14ac:dyDescent="0.2">
      <c r="A442" s="79">
        <v>500020</v>
      </c>
      <c r="B442" s="77" t="s">
        <v>407</v>
      </c>
      <c r="C442" s="77" t="s">
        <v>408</v>
      </c>
      <c r="D442" s="78">
        <v>93.518500000000003</v>
      </c>
      <c r="E442" s="77" t="s">
        <v>1766</v>
      </c>
      <c r="F442" s="77" t="s">
        <v>1745</v>
      </c>
      <c r="G442" s="77" t="s">
        <v>1812</v>
      </c>
    </row>
    <row r="443" spans="1:7" ht="32" x14ac:dyDescent="0.2">
      <c r="A443" s="79">
        <v>501134</v>
      </c>
      <c r="B443" s="77" t="s">
        <v>438</v>
      </c>
      <c r="C443" s="77" t="s">
        <v>439</v>
      </c>
      <c r="D443" s="78">
        <v>79.743650000000002</v>
      </c>
      <c r="E443" s="77" t="s">
        <v>1766</v>
      </c>
      <c r="F443" s="77" t="s">
        <v>1833</v>
      </c>
      <c r="G443" s="77" t="s">
        <v>1848</v>
      </c>
    </row>
    <row r="444" spans="1:7" ht="32" x14ac:dyDescent="0.2">
      <c r="A444" s="79">
        <v>500303</v>
      </c>
      <c r="B444" s="77" t="s">
        <v>582</v>
      </c>
      <c r="C444" s="77" t="s">
        <v>583</v>
      </c>
      <c r="D444" s="78">
        <v>16.133859999999999</v>
      </c>
      <c r="E444" s="77" t="s">
        <v>1766</v>
      </c>
      <c r="F444" s="77" t="s">
        <v>75</v>
      </c>
      <c r="G444" s="77" t="s">
        <v>1813</v>
      </c>
    </row>
    <row r="445" spans="1:7" ht="32" x14ac:dyDescent="0.2">
      <c r="A445" s="79">
        <v>500984</v>
      </c>
      <c r="B445" s="77" t="s">
        <v>653</v>
      </c>
      <c r="C445" s="77" t="s">
        <v>654</v>
      </c>
      <c r="D445" s="78">
        <v>6.4109999999999996</v>
      </c>
      <c r="E445" s="77" t="s">
        <v>1766</v>
      </c>
      <c r="F445" s="77" t="s">
        <v>1745</v>
      </c>
      <c r="G445" s="77" t="s">
        <v>1812</v>
      </c>
    </row>
    <row r="446" spans="1:7" ht="32" x14ac:dyDescent="0.2">
      <c r="A446" s="79">
        <v>500985</v>
      </c>
      <c r="B446" s="77" t="s">
        <v>659</v>
      </c>
      <c r="C446" s="77" t="s">
        <v>660</v>
      </c>
      <c r="D446" s="78">
        <v>6.2279999999999998</v>
      </c>
      <c r="E446" s="77" t="s">
        <v>1766</v>
      </c>
      <c r="F446" s="77" t="s">
        <v>1833</v>
      </c>
      <c r="G446" s="77" t="s">
        <v>1848</v>
      </c>
    </row>
    <row r="447" spans="1:7" ht="32" x14ac:dyDescent="0.2">
      <c r="A447" s="79">
        <v>500618</v>
      </c>
      <c r="B447" s="77" t="s">
        <v>740</v>
      </c>
      <c r="C447" s="77" t="s">
        <v>741</v>
      </c>
      <c r="D447" s="78">
        <v>1.6932</v>
      </c>
      <c r="E447" s="77" t="s">
        <v>1766</v>
      </c>
      <c r="F447" s="77" t="s">
        <v>1833</v>
      </c>
      <c r="G447" s="77" t="s">
        <v>1848</v>
      </c>
    </row>
    <row r="448" spans="1:7" ht="32" x14ac:dyDescent="0.2">
      <c r="A448" s="79">
        <v>502003</v>
      </c>
      <c r="B448" s="77" t="s">
        <v>748</v>
      </c>
      <c r="C448" s="77" t="s">
        <v>749</v>
      </c>
      <c r="D448" s="78">
        <v>1.4994000000000001</v>
      </c>
      <c r="E448" s="77" t="s">
        <v>1766</v>
      </c>
      <c r="F448" s="77" t="s">
        <v>1833</v>
      </c>
      <c r="G448" s="77" t="s">
        <v>1848</v>
      </c>
    </row>
  </sheetData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48C1-EBF5-EF41-8486-8D54DD740B80}">
  <dimension ref="A1:T572"/>
  <sheetViews>
    <sheetView topLeftCell="A499" zoomScale="50" workbookViewId="0">
      <selection activeCell="A52" sqref="A52:A58"/>
    </sheetView>
  </sheetViews>
  <sheetFormatPr baseColWidth="10" defaultColWidth="11.5" defaultRowHeight="15" x14ac:dyDescent="0.2"/>
  <cols>
    <col min="1" max="1" width="97.6640625" bestFit="1" customWidth="1"/>
    <col min="2" max="2" width="37.6640625" style="90" bestFit="1" customWidth="1"/>
    <col min="3" max="3" width="43" style="90" bestFit="1" customWidth="1"/>
    <col min="4" max="4" width="48.5" style="90" bestFit="1" customWidth="1"/>
    <col min="5" max="5" width="46.6640625" style="90" bestFit="1" customWidth="1"/>
    <col min="6" max="6" width="62" style="90" bestFit="1" customWidth="1"/>
    <col min="7" max="8" width="11.6640625" style="90" bestFit="1" customWidth="1"/>
    <col min="9" max="9" width="25.6640625" style="90" bestFit="1" customWidth="1"/>
    <col min="10" max="10" width="49" style="90" bestFit="1" customWidth="1"/>
    <col min="11" max="11" width="47.33203125" style="90" bestFit="1" customWidth="1"/>
    <col min="12" max="12" width="52.6640625" style="90" customWidth="1"/>
    <col min="16" max="16" width="32.5" customWidth="1"/>
    <col min="17" max="17" width="35.6640625" customWidth="1"/>
    <col min="18" max="18" width="3.6640625" customWidth="1"/>
    <col min="19" max="20" width="32.5" customWidth="1"/>
  </cols>
  <sheetData>
    <row r="1" spans="1:20" s="87" customFormat="1" ht="19" x14ac:dyDescent="0.25">
      <c r="A1" s="127" t="s">
        <v>1849</v>
      </c>
      <c r="B1" s="127"/>
      <c r="C1" s="127"/>
      <c r="D1" s="127"/>
      <c r="E1" s="127"/>
      <c r="F1" s="105"/>
      <c r="G1" s="125" t="s">
        <v>1850</v>
      </c>
      <c r="H1" s="125"/>
      <c r="I1" s="125"/>
      <c r="J1" s="125"/>
      <c r="K1" s="125"/>
      <c r="L1" s="125"/>
      <c r="P1" s="104" t="s">
        <v>1851</v>
      </c>
      <c r="Q1" s="104"/>
      <c r="R1" s="104"/>
      <c r="S1" s="104"/>
      <c r="T1" s="104"/>
    </row>
    <row r="2" spans="1:20" s="83" customFormat="1" x14ac:dyDescent="0.2">
      <c r="A2"/>
      <c r="B2" s="90"/>
      <c r="C2" s="91"/>
      <c r="D2" s="91"/>
      <c r="E2" s="91"/>
      <c r="F2" s="91"/>
      <c r="G2" s="89"/>
      <c r="H2" s="84"/>
      <c r="I2" s="84"/>
      <c r="J2" s="84"/>
      <c r="K2" s="84"/>
      <c r="L2" s="84"/>
    </row>
    <row r="3" spans="1:20" ht="17" thickBot="1" x14ac:dyDescent="0.25">
      <c r="A3" s="106" t="s">
        <v>1852</v>
      </c>
      <c r="B3" s="107" t="s">
        <v>1853</v>
      </c>
      <c r="C3" s="107" t="s">
        <v>1854</v>
      </c>
      <c r="D3" s="107" t="s">
        <v>1855</v>
      </c>
      <c r="E3" s="107" t="s">
        <v>1856</v>
      </c>
      <c r="F3" s="91"/>
      <c r="H3" s="92" t="s">
        <v>1857</v>
      </c>
      <c r="I3" s="92" t="s">
        <v>1831</v>
      </c>
      <c r="J3" s="92" t="s">
        <v>1858</v>
      </c>
      <c r="K3" s="92" t="s">
        <v>1859</v>
      </c>
      <c r="L3" s="92" t="s">
        <v>1860</v>
      </c>
      <c r="P3" s="113" t="s">
        <v>1861</v>
      </c>
      <c r="Q3" s="113"/>
      <c r="S3" s="113" t="s">
        <v>1862</v>
      </c>
      <c r="T3" s="114"/>
    </row>
    <row r="4" spans="1:20" s="88" customFormat="1" ht="16" x14ac:dyDescent="0.2">
      <c r="A4" s="115" t="s">
        <v>65</v>
      </c>
      <c r="B4" s="96" t="s">
        <v>1863</v>
      </c>
      <c r="C4" s="112" t="s">
        <v>1864</v>
      </c>
      <c r="D4" s="112" t="s">
        <v>1865</v>
      </c>
      <c r="E4" s="112" t="s">
        <v>1866</v>
      </c>
      <c r="F4" s="91"/>
      <c r="G4" s="126" t="s">
        <v>1867</v>
      </c>
      <c r="H4" s="85">
        <v>1</v>
      </c>
      <c r="I4" s="85" t="s">
        <v>1868</v>
      </c>
      <c r="J4" s="85" t="s">
        <v>1869</v>
      </c>
      <c r="K4" s="85" t="s">
        <v>1870</v>
      </c>
      <c r="L4" s="85" t="s">
        <v>1871</v>
      </c>
      <c r="P4" s="103" t="s">
        <v>1872</v>
      </c>
      <c r="Q4" s="93" t="s">
        <v>1873</v>
      </c>
      <c r="S4" s="91" t="s">
        <v>1872</v>
      </c>
      <c r="T4" s="93" t="s">
        <v>1873</v>
      </c>
    </row>
    <row r="5" spans="1:20" ht="16" x14ac:dyDescent="0.2">
      <c r="A5" s="116"/>
      <c r="B5" s="96" t="s">
        <v>1874</v>
      </c>
      <c r="C5" s="112"/>
      <c r="D5" s="112"/>
      <c r="E5" s="112"/>
      <c r="F5" s="91"/>
      <c r="G5" s="126"/>
      <c r="H5" s="86">
        <v>2</v>
      </c>
      <c r="I5" s="86" t="s">
        <v>1875</v>
      </c>
      <c r="J5" s="86" t="s">
        <v>1876</v>
      </c>
      <c r="K5" s="86" t="s">
        <v>59</v>
      </c>
      <c r="L5" s="86" t="s">
        <v>1877</v>
      </c>
      <c r="P5" s="91" t="s">
        <v>1863</v>
      </c>
      <c r="Q5" s="94">
        <v>4</v>
      </c>
      <c r="S5" s="91" t="s">
        <v>1878</v>
      </c>
      <c r="T5" s="94">
        <v>6</v>
      </c>
    </row>
    <row r="6" spans="1:20" ht="32" x14ac:dyDescent="0.2">
      <c r="A6" s="116"/>
      <c r="B6" s="96" t="s">
        <v>1879</v>
      </c>
      <c r="C6" s="112"/>
      <c r="D6" s="112"/>
      <c r="E6" s="112"/>
      <c r="F6" s="91"/>
      <c r="G6" s="126"/>
      <c r="H6" s="85">
        <v>3</v>
      </c>
      <c r="I6" s="85" t="s">
        <v>1880</v>
      </c>
      <c r="J6" s="85" t="s">
        <v>1881</v>
      </c>
      <c r="K6" s="85" t="s">
        <v>1882</v>
      </c>
      <c r="L6" s="85" t="s">
        <v>1883</v>
      </c>
      <c r="P6" s="91" t="s">
        <v>1884</v>
      </c>
      <c r="Q6" s="94">
        <v>9</v>
      </c>
      <c r="S6" s="91" t="s">
        <v>1885</v>
      </c>
      <c r="T6" s="94">
        <v>6</v>
      </c>
    </row>
    <row r="7" spans="1:20" ht="16" x14ac:dyDescent="0.2">
      <c r="A7" s="116"/>
      <c r="B7" s="96" t="s">
        <v>1886</v>
      </c>
      <c r="C7" s="112"/>
      <c r="D7" s="112"/>
      <c r="E7" s="112"/>
      <c r="F7" s="91"/>
      <c r="G7" s="126"/>
      <c r="H7" s="86">
        <v>4</v>
      </c>
      <c r="I7" s="86" t="s">
        <v>1887</v>
      </c>
      <c r="J7" s="86" t="s">
        <v>1888</v>
      </c>
      <c r="K7" s="86" t="s">
        <v>1889</v>
      </c>
      <c r="L7" s="86" t="s">
        <v>1890</v>
      </c>
      <c r="P7" s="91" t="s">
        <v>1891</v>
      </c>
      <c r="Q7" s="94">
        <v>9</v>
      </c>
      <c r="S7" s="91" t="s">
        <v>1892</v>
      </c>
      <c r="T7" s="94">
        <v>6</v>
      </c>
    </row>
    <row r="8" spans="1:20" ht="16" x14ac:dyDescent="0.2">
      <c r="A8" s="116"/>
      <c r="B8" s="96" t="s">
        <v>1893</v>
      </c>
      <c r="C8" s="112"/>
      <c r="D8" s="112"/>
      <c r="E8" s="112"/>
      <c r="F8" s="91"/>
      <c r="G8" s="126"/>
      <c r="H8" s="85">
        <v>5</v>
      </c>
      <c r="I8" s="85" t="s">
        <v>1894</v>
      </c>
      <c r="J8" s="85" t="s">
        <v>1895</v>
      </c>
      <c r="K8" s="85" t="s">
        <v>1896</v>
      </c>
      <c r="L8" s="85" t="s">
        <v>1897</v>
      </c>
      <c r="P8" s="91" t="s">
        <v>1886</v>
      </c>
      <c r="Q8" s="94">
        <v>9</v>
      </c>
      <c r="S8" s="91" t="s">
        <v>1898</v>
      </c>
      <c r="T8" s="94">
        <v>7</v>
      </c>
    </row>
    <row r="9" spans="1:20" ht="32" x14ac:dyDescent="0.2">
      <c r="A9" s="116"/>
      <c r="B9" s="96" t="s">
        <v>1899</v>
      </c>
      <c r="C9" s="112"/>
      <c r="D9" s="112"/>
      <c r="E9" s="112"/>
      <c r="F9" s="91"/>
      <c r="G9" s="126"/>
      <c r="H9" s="86">
        <v>6</v>
      </c>
      <c r="I9" s="86" t="s">
        <v>1900</v>
      </c>
      <c r="J9" s="86" t="s">
        <v>1901</v>
      </c>
      <c r="K9" s="86" t="s">
        <v>1902</v>
      </c>
      <c r="L9" s="86" t="s">
        <v>1903</v>
      </c>
      <c r="P9" s="91" t="s">
        <v>1893</v>
      </c>
      <c r="Q9" s="94">
        <v>12</v>
      </c>
      <c r="S9" s="91" t="s">
        <v>1904</v>
      </c>
      <c r="T9" s="94">
        <v>6</v>
      </c>
    </row>
    <row r="10" spans="1:20" ht="32" x14ac:dyDescent="0.2">
      <c r="A10" s="116"/>
      <c r="B10" s="96" t="s">
        <v>1905</v>
      </c>
      <c r="C10" s="112"/>
      <c r="D10" s="112"/>
      <c r="E10" s="112"/>
      <c r="F10" s="91"/>
      <c r="G10" s="126"/>
      <c r="H10" s="85">
        <v>7</v>
      </c>
      <c r="I10" s="85" t="s">
        <v>1906</v>
      </c>
      <c r="J10" s="85" t="s">
        <v>1907</v>
      </c>
      <c r="K10" s="85" t="s">
        <v>1908</v>
      </c>
      <c r="L10" s="85" t="s">
        <v>1909</v>
      </c>
      <c r="P10" s="91" t="s">
        <v>1899</v>
      </c>
      <c r="Q10" s="94">
        <v>9</v>
      </c>
      <c r="S10" s="91" t="s">
        <v>1910</v>
      </c>
      <c r="T10" s="94">
        <v>7</v>
      </c>
    </row>
    <row r="11" spans="1:20" ht="32" x14ac:dyDescent="0.2">
      <c r="A11" s="117"/>
      <c r="B11" s="96" t="s">
        <v>1911</v>
      </c>
      <c r="C11" s="112"/>
      <c r="D11" s="112"/>
      <c r="E11" s="112"/>
      <c r="F11" s="91"/>
      <c r="G11" s="126"/>
      <c r="H11" s="86">
        <v>8</v>
      </c>
      <c r="I11" s="86" t="s">
        <v>1912</v>
      </c>
      <c r="J11" s="86" t="s">
        <v>1913</v>
      </c>
      <c r="K11" s="86" t="s">
        <v>64</v>
      </c>
      <c r="L11" s="86" t="s">
        <v>1914</v>
      </c>
      <c r="P11" s="91" t="s">
        <v>1905</v>
      </c>
      <c r="Q11" s="94">
        <v>4</v>
      </c>
      <c r="S11" s="91" t="s">
        <v>1915</v>
      </c>
      <c r="T11" s="94">
        <v>7</v>
      </c>
    </row>
    <row r="12" spans="1:20" ht="16" x14ac:dyDescent="0.2">
      <c r="A12" s="118" t="s">
        <v>1916</v>
      </c>
      <c r="B12" s="98" t="s">
        <v>1878</v>
      </c>
      <c r="C12" s="121" t="s">
        <v>1917</v>
      </c>
      <c r="D12" s="121" t="s">
        <v>1918</v>
      </c>
      <c r="E12" s="121" t="s">
        <v>1919</v>
      </c>
      <c r="F12" s="91"/>
      <c r="G12" s="126"/>
      <c r="H12" s="85">
        <v>9</v>
      </c>
      <c r="I12" s="85" t="s">
        <v>1920</v>
      </c>
      <c r="J12" s="85" t="s">
        <v>1921</v>
      </c>
      <c r="K12" s="85" t="s">
        <v>1922</v>
      </c>
      <c r="L12" s="85" t="s">
        <v>1923</v>
      </c>
      <c r="P12" s="91" t="s">
        <v>1911</v>
      </c>
      <c r="Q12" s="94">
        <v>5</v>
      </c>
      <c r="S12" s="91" t="s">
        <v>1924</v>
      </c>
      <c r="T12" s="94">
        <v>6</v>
      </c>
    </row>
    <row r="13" spans="1:20" ht="16" x14ac:dyDescent="0.2">
      <c r="A13" s="119"/>
      <c r="B13" s="98" t="s">
        <v>1885</v>
      </c>
      <c r="C13" s="121"/>
      <c r="D13" s="121"/>
      <c r="E13" s="121"/>
      <c r="F13" s="91"/>
      <c r="G13" s="126"/>
      <c r="H13" s="86">
        <v>10</v>
      </c>
      <c r="I13" s="86" t="s">
        <v>1925</v>
      </c>
      <c r="J13" s="86" t="s">
        <v>1926</v>
      </c>
      <c r="K13" s="86" t="s">
        <v>1927</v>
      </c>
      <c r="L13" s="86" t="s">
        <v>1928</v>
      </c>
      <c r="P13" s="91"/>
      <c r="Q13" s="93"/>
    </row>
    <row r="14" spans="1:20" ht="16" x14ac:dyDescent="0.2">
      <c r="A14" s="119"/>
      <c r="B14" s="98" t="s">
        <v>1892</v>
      </c>
      <c r="C14" s="121"/>
      <c r="D14" s="121"/>
      <c r="E14" s="121"/>
      <c r="F14" s="91"/>
      <c r="G14" s="126"/>
      <c r="H14" s="85">
        <v>11</v>
      </c>
      <c r="I14" s="85" t="s">
        <v>68</v>
      </c>
      <c r="J14" s="85" t="s">
        <v>1929</v>
      </c>
      <c r="K14" s="85" t="s">
        <v>68</v>
      </c>
      <c r="L14" s="85" t="s">
        <v>1930</v>
      </c>
      <c r="P14" s="113" t="s">
        <v>1931</v>
      </c>
      <c r="Q14" s="114"/>
      <c r="S14" s="113" t="s">
        <v>1932</v>
      </c>
      <c r="T14" s="114"/>
    </row>
    <row r="15" spans="1:20" ht="49" x14ac:dyDescent="0.2">
      <c r="A15" s="119"/>
      <c r="B15" s="98" t="s">
        <v>1898</v>
      </c>
      <c r="C15" s="121"/>
      <c r="D15" s="121"/>
      <c r="E15" s="121"/>
      <c r="F15" s="91"/>
      <c r="G15" s="102" t="s">
        <v>1933</v>
      </c>
      <c r="H15" s="95">
        <v>12</v>
      </c>
      <c r="I15" s="95" t="s">
        <v>1934</v>
      </c>
      <c r="J15" s="95" t="s">
        <v>1935</v>
      </c>
      <c r="K15" s="95" t="s">
        <v>67</v>
      </c>
      <c r="L15" s="95" t="s">
        <v>1936</v>
      </c>
      <c r="P15" s="91" t="s">
        <v>1872</v>
      </c>
      <c r="Q15" s="93" t="s">
        <v>1873</v>
      </c>
      <c r="S15" s="91" t="s">
        <v>1872</v>
      </c>
      <c r="T15" s="93" t="s">
        <v>1873</v>
      </c>
    </row>
    <row r="16" spans="1:20" ht="16" x14ac:dyDescent="0.2">
      <c r="A16" s="119"/>
      <c r="B16" s="98" t="s">
        <v>1937</v>
      </c>
      <c r="C16" s="121"/>
      <c r="D16" s="121"/>
      <c r="E16" s="121"/>
      <c r="F16" s="91"/>
      <c r="P16" s="91" t="s">
        <v>1938</v>
      </c>
      <c r="Q16" s="94">
        <v>5</v>
      </c>
      <c r="S16" s="91" t="s">
        <v>1939</v>
      </c>
      <c r="T16" s="94">
        <v>3</v>
      </c>
    </row>
    <row r="17" spans="1:20" ht="16" x14ac:dyDescent="0.2">
      <c r="A17" s="119"/>
      <c r="B17" s="98" t="s">
        <v>1915</v>
      </c>
      <c r="C17" s="121"/>
      <c r="D17" s="121"/>
      <c r="E17" s="121"/>
      <c r="F17" s="91"/>
      <c r="P17" s="91" t="s">
        <v>1940</v>
      </c>
      <c r="Q17" s="94">
        <v>4</v>
      </c>
      <c r="S17" s="91" t="s">
        <v>1941</v>
      </c>
      <c r="T17" s="94">
        <v>3</v>
      </c>
    </row>
    <row r="18" spans="1:20" ht="16" x14ac:dyDescent="0.2">
      <c r="A18" s="120"/>
      <c r="B18" s="98" t="s">
        <v>1942</v>
      </c>
      <c r="C18" s="121"/>
      <c r="D18" s="121"/>
      <c r="E18" s="121"/>
      <c r="F18" s="91"/>
      <c r="P18" s="91" t="s">
        <v>1943</v>
      </c>
      <c r="Q18" s="94">
        <v>5</v>
      </c>
      <c r="S18" s="91" t="s">
        <v>1944</v>
      </c>
      <c r="T18" s="94">
        <v>3</v>
      </c>
    </row>
    <row r="19" spans="1:20" ht="38" x14ac:dyDescent="0.2">
      <c r="A19" s="100" t="s">
        <v>1938</v>
      </c>
      <c r="B19" s="96"/>
      <c r="C19" s="97"/>
      <c r="D19" s="97"/>
      <c r="E19" s="97"/>
      <c r="F19" s="91"/>
      <c r="P19" s="91" t="s">
        <v>1945</v>
      </c>
      <c r="Q19" s="94">
        <v>5</v>
      </c>
      <c r="S19" s="91" t="s">
        <v>1946</v>
      </c>
      <c r="T19" s="94">
        <v>3</v>
      </c>
    </row>
    <row r="20" spans="1:20" ht="75" x14ac:dyDescent="0.2">
      <c r="A20" s="101" t="s">
        <v>1947</v>
      </c>
      <c r="B20" s="98"/>
      <c r="C20" s="99"/>
      <c r="D20" s="99"/>
      <c r="E20" s="99"/>
      <c r="F20" s="91"/>
      <c r="P20" s="91" t="s">
        <v>1948</v>
      </c>
      <c r="Q20" s="94">
        <v>5</v>
      </c>
      <c r="S20" s="91" t="s">
        <v>1949</v>
      </c>
      <c r="T20" s="94">
        <v>3</v>
      </c>
    </row>
    <row r="21" spans="1:20" ht="43" x14ac:dyDescent="0.2">
      <c r="A21" s="100" t="s">
        <v>62</v>
      </c>
      <c r="B21" s="96"/>
      <c r="C21" s="97" t="s">
        <v>1950</v>
      </c>
      <c r="D21" s="97" t="s">
        <v>1951</v>
      </c>
      <c r="E21" s="97" t="s">
        <v>1952</v>
      </c>
      <c r="F21" s="91"/>
      <c r="P21" s="91" t="s">
        <v>1953</v>
      </c>
      <c r="Q21" s="94">
        <v>5</v>
      </c>
      <c r="S21" s="91" t="s">
        <v>1954</v>
      </c>
      <c r="T21" s="94">
        <v>3</v>
      </c>
    </row>
    <row r="22" spans="1:20" ht="37" x14ac:dyDescent="0.2">
      <c r="A22" s="101" t="s">
        <v>1955</v>
      </c>
      <c r="B22" s="98"/>
      <c r="C22" s="99" t="s">
        <v>1956</v>
      </c>
      <c r="D22" s="99" t="s">
        <v>1957</v>
      </c>
      <c r="E22" s="99" t="s">
        <v>1952</v>
      </c>
      <c r="F22" s="91"/>
      <c r="P22" s="91" t="s">
        <v>1958</v>
      </c>
      <c r="Q22" s="94">
        <v>5</v>
      </c>
      <c r="S22" s="91" t="s">
        <v>1959</v>
      </c>
      <c r="T22" s="94">
        <v>3</v>
      </c>
    </row>
    <row r="23" spans="1:20" ht="38" x14ac:dyDescent="0.2">
      <c r="A23" s="100" t="s">
        <v>68</v>
      </c>
      <c r="B23" s="96"/>
      <c r="C23" s="97" t="s">
        <v>1960</v>
      </c>
      <c r="D23" s="97" t="s">
        <v>1961</v>
      </c>
      <c r="E23" s="97" t="s">
        <v>1962</v>
      </c>
      <c r="F23" s="91"/>
      <c r="P23" s="91" t="s">
        <v>1963</v>
      </c>
      <c r="Q23" s="94">
        <v>5</v>
      </c>
      <c r="S23" s="90"/>
      <c r="T23" s="90"/>
    </row>
    <row r="24" spans="1:20" ht="16" x14ac:dyDescent="0.2">
      <c r="A24" s="118" t="s">
        <v>64</v>
      </c>
      <c r="B24" s="98" t="s">
        <v>1964</v>
      </c>
      <c r="C24" s="121" t="s">
        <v>1965</v>
      </c>
      <c r="D24" s="121" t="s">
        <v>1966</v>
      </c>
      <c r="E24" s="121" t="s">
        <v>1967</v>
      </c>
      <c r="F24" s="91"/>
      <c r="P24" s="91"/>
      <c r="Q24" s="93"/>
      <c r="S24" s="90"/>
      <c r="T24" s="90"/>
    </row>
    <row r="25" spans="1:20" ht="16" x14ac:dyDescent="0.2">
      <c r="A25" s="119"/>
      <c r="B25" s="98" t="s">
        <v>1968</v>
      </c>
      <c r="C25" s="121"/>
      <c r="D25" s="121"/>
      <c r="E25" s="121"/>
      <c r="F25" s="91"/>
      <c r="P25" s="113" t="s">
        <v>1969</v>
      </c>
      <c r="Q25" s="114"/>
      <c r="S25" s="113" t="s">
        <v>1970</v>
      </c>
      <c r="T25" s="114"/>
    </row>
    <row r="26" spans="1:20" ht="16" x14ac:dyDescent="0.2">
      <c r="A26" s="119"/>
      <c r="B26" s="98" t="s">
        <v>1971</v>
      </c>
      <c r="C26" s="121"/>
      <c r="D26" s="121"/>
      <c r="E26" s="121"/>
      <c r="F26" s="91"/>
      <c r="P26" s="91" t="s">
        <v>1872</v>
      </c>
      <c r="Q26" s="93" t="s">
        <v>1873</v>
      </c>
      <c r="S26" s="91" t="s">
        <v>1872</v>
      </c>
      <c r="T26" s="93" t="s">
        <v>1873</v>
      </c>
    </row>
    <row r="27" spans="1:20" ht="16" x14ac:dyDescent="0.2">
      <c r="A27" s="119"/>
      <c r="B27" s="98" t="s">
        <v>1972</v>
      </c>
      <c r="C27" s="121"/>
      <c r="D27" s="121"/>
      <c r="E27" s="121"/>
      <c r="F27" s="91"/>
      <c r="P27" s="91" t="s">
        <v>1964</v>
      </c>
      <c r="Q27" s="94">
        <v>8</v>
      </c>
      <c r="S27" s="91" t="s">
        <v>68</v>
      </c>
      <c r="T27" s="94">
        <v>11</v>
      </c>
    </row>
    <row r="28" spans="1:20" ht="16" x14ac:dyDescent="0.2">
      <c r="A28" s="119"/>
      <c r="B28" s="98" t="s">
        <v>1973</v>
      </c>
      <c r="C28" s="121"/>
      <c r="D28" s="121"/>
      <c r="E28" s="121"/>
      <c r="F28" s="91"/>
      <c r="P28" s="91" t="s">
        <v>1968</v>
      </c>
      <c r="Q28" s="94">
        <v>8</v>
      </c>
      <c r="S28" s="91" t="s">
        <v>1974</v>
      </c>
      <c r="T28" s="94">
        <v>11</v>
      </c>
    </row>
    <row r="29" spans="1:20" ht="16" x14ac:dyDescent="0.2">
      <c r="A29" s="119"/>
      <c r="B29" s="98" t="s">
        <v>1975</v>
      </c>
      <c r="C29" s="121"/>
      <c r="D29" s="121"/>
      <c r="E29" s="121"/>
      <c r="F29" s="91"/>
      <c r="P29" s="91" t="s">
        <v>1971</v>
      </c>
      <c r="Q29" s="94">
        <v>10</v>
      </c>
      <c r="S29" s="91" t="s">
        <v>1976</v>
      </c>
      <c r="T29" s="94">
        <v>11</v>
      </c>
    </row>
    <row r="30" spans="1:20" ht="16" x14ac:dyDescent="0.2">
      <c r="A30" s="119"/>
      <c r="B30" s="98" t="s">
        <v>1977</v>
      </c>
      <c r="C30" s="121"/>
      <c r="D30" s="121"/>
      <c r="E30" s="121"/>
      <c r="F30" s="91"/>
      <c r="P30" s="91" t="s">
        <v>1978</v>
      </c>
      <c r="Q30" s="94">
        <v>8</v>
      </c>
      <c r="S30" s="91" t="s">
        <v>1979</v>
      </c>
      <c r="T30" s="94">
        <v>11</v>
      </c>
    </row>
    <row r="31" spans="1:20" ht="16" x14ac:dyDescent="0.2">
      <c r="A31" s="119"/>
      <c r="B31" s="98" t="s">
        <v>1980</v>
      </c>
      <c r="C31" s="121"/>
      <c r="D31" s="121"/>
      <c r="E31" s="121"/>
      <c r="F31" s="91"/>
      <c r="P31" s="91" t="s">
        <v>1973</v>
      </c>
      <c r="Q31" s="94">
        <v>9</v>
      </c>
      <c r="S31" s="91" t="s">
        <v>1981</v>
      </c>
      <c r="T31" s="94">
        <v>11</v>
      </c>
    </row>
    <row r="32" spans="1:20" ht="16" x14ac:dyDescent="0.2">
      <c r="A32" s="119"/>
      <c r="B32" s="98" t="s">
        <v>1982</v>
      </c>
      <c r="C32" s="121"/>
      <c r="D32" s="121"/>
      <c r="E32" s="121"/>
      <c r="F32" s="91"/>
      <c r="P32" s="91" t="s">
        <v>1975</v>
      </c>
      <c r="Q32" s="94">
        <v>8</v>
      </c>
      <c r="S32" s="90"/>
      <c r="T32" s="90"/>
    </row>
    <row r="33" spans="1:20" ht="16" x14ac:dyDescent="0.2">
      <c r="A33" s="119"/>
      <c r="B33" s="98" t="s">
        <v>1983</v>
      </c>
      <c r="C33" s="121"/>
      <c r="D33" s="121"/>
      <c r="E33" s="121"/>
      <c r="F33" s="91"/>
      <c r="P33" s="91" t="s">
        <v>1977</v>
      </c>
      <c r="Q33" s="94">
        <v>12</v>
      </c>
      <c r="S33" s="113" t="s">
        <v>1984</v>
      </c>
      <c r="T33" s="114"/>
    </row>
    <row r="34" spans="1:20" ht="16" x14ac:dyDescent="0.2">
      <c r="A34" s="120"/>
      <c r="B34" s="98" t="s">
        <v>1985</v>
      </c>
      <c r="C34" s="121"/>
      <c r="D34" s="121"/>
      <c r="E34" s="121"/>
      <c r="F34" s="91"/>
      <c r="P34" s="91" t="s">
        <v>1986</v>
      </c>
      <c r="Q34" s="94">
        <v>8</v>
      </c>
      <c r="S34" s="91" t="s">
        <v>1872</v>
      </c>
      <c r="T34" s="93" t="s">
        <v>1873</v>
      </c>
    </row>
    <row r="35" spans="1:20" ht="16" x14ac:dyDescent="0.2">
      <c r="A35" s="122" t="s">
        <v>1927</v>
      </c>
      <c r="B35" s="96" t="s">
        <v>1987</v>
      </c>
      <c r="C35" s="97" t="s">
        <v>1988</v>
      </c>
      <c r="D35" s="97" t="s">
        <v>1989</v>
      </c>
      <c r="E35" s="97" t="s">
        <v>1990</v>
      </c>
      <c r="F35" s="91"/>
      <c r="P35" s="91" t="s">
        <v>1982</v>
      </c>
      <c r="Q35" s="94">
        <v>8</v>
      </c>
      <c r="S35" s="91" t="s">
        <v>1987</v>
      </c>
      <c r="T35" s="94">
        <v>11</v>
      </c>
    </row>
    <row r="36" spans="1:20" ht="32" x14ac:dyDescent="0.2">
      <c r="A36" s="123"/>
      <c r="B36" s="96" t="s">
        <v>1991</v>
      </c>
      <c r="C36" s="97"/>
      <c r="D36" s="97"/>
      <c r="E36" s="97"/>
      <c r="F36" s="91"/>
      <c r="P36" s="91" t="s">
        <v>1983</v>
      </c>
      <c r="Q36" s="94">
        <v>7</v>
      </c>
      <c r="S36" s="91" t="s">
        <v>1991</v>
      </c>
      <c r="T36" s="94">
        <v>11</v>
      </c>
    </row>
    <row r="37" spans="1:20" ht="65" x14ac:dyDescent="0.2">
      <c r="A37" s="101" t="s">
        <v>69</v>
      </c>
      <c r="B37" s="98"/>
      <c r="C37" s="99" t="s">
        <v>1992</v>
      </c>
      <c r="D37" s="99" t="s">
        <v>1993</v>
      </c>
      <c r="E37" s="99" t="s">
        <v>1994</v>
      </c>
      <c r="F37" s="91"/>
      <c r="P37" s="91" t="s">
        <v>1995</v>
      </c>
      <c r="Q37" s="94">
        <v>12</v>
      </c>
    </row>
    <row r="38" spans="1:20" ht="16" x14ac:dyDescent="0.2">
      <c r="A38" s="122" t="s">
        <v>59</v>
      </c>
      <c r="B38" s="96" t="s">
        <v>1996</v>
      </c>
      <c r="C38" s="112"/>
      <c r="D38" s="112"/>
      <c r="E38" s="112" t="s">
        <v>1997</v>
      </c>
      <c r="F38" s="91"/>
      <c r="P38" s="90"/>
      <c r="Q38" s="90"/>
      <c r="S38" s="113" t="s">
        <v>1998</v>
      </c>
      <c r="T38" s="114"/>
    </row>
    <row r="39" spans="1:20" ht="16" x14ac:dyDescent="0.2">
      <c r="A39" s="124"/>
      <c r="B39" s="96" t="s">
        <v>1999</v>
      </c>
      <c r="C39" s="112"/>
      <c r="D39" s="112"/>
      <c r="E39" s="112"/>
      <c r="F39" s="91"/>
      <c r="P39" s="113" t="s">
        <v>2000</v>
      </c>
      <c r="Q39" s="114"/>
      <c r="S39" s="91" t="s">
        <v>1872</v>
      </c>
      <c r="T39" s="93" t="s">
        <v>1873</v>
      </c>
    </row>
    <row r="40" spans="1:20" ht="16" x14ac:dyDescent="0.2">
      <c r="A40" s="124"/>
      <c r="B40" s="96" t="s">
        <v>2001</v>
      </c>
      <c r="C40" s="112"/>
      <c r="D40" s="112"/>
      <c r="E40" s="112"/>
      <c r="F40" s="91"/>
      <c r="P40" s="91" t="s">
        <v>1872</v>
      </c>
      <c r="Q40" s="93" t="s">
        <v>1873</v>
      </c>
      <c r="S40" s="91" t="s">
        <v>69</v>
      </c>
      <c r="T40" s="94"/>
    </row>
    <row r="41" spans="1:20" ht="16" x14ac:dyDescent="0.2">
      <c r="A41" s="124"/>
      <c r="B41" s="96" t="s">
        <v>2002</v>
      </c>
      <c r="C41" s="112"/>
      <c r="D41" s="112"/>
      <c r="E41" s="112"/>
      <c r="F41" s="91"/>
      <c r="P41" s="91" t="s">
        <v>1996</v>
      </c>
      <c r="Q41" s="94">
        <v>2</v>
      </c>
      <c r="S41" s="91" t="s">
        <v>2003</v>
      </c>
      <c r="T41" s="94"/>
    </row>
    <row r="42" spans="1:20" ht="16" x14ac:dyDescent="0.2">
      <c r="A42" s="123"/>
      <c r="B42" s="96" t="s">
        <v>2004</v>
      </c>
      <c r="C42" s="112"/>
      <c r="D42" s="112"/>
      <c r="E42" s="112"/>
      <c r="F42" s="91"/>
      <c r="P42" s="91" t="s">
        <v>1999</v>
      </c>
      <c r="Q42" s="94">
        <v>12</v>
      </c>
    </row>
    <row r="43" spans="1:20" ht="16" x14ac:dyDescent="0.2">
      <c r="C43" s="91"/>
      <c r="D43" s="91"/>
      <c r="E43" s="91"/>
      <c r="F43" s="91"/>
      <c r="P43" s="91" t="s">
        <v>2005</v>
      </c>
      <c r="Q43" s="94">
        <v>12</v>
      </c>
      <c r="S43" s="113" t="s">
        <v>2006</v>
      </c>
      <c r="T43" s="114"/>
    </row>
    <row r="44" spans="1:20" ht="16" x14ac:dyDescent="0.2">
      <c r="C44" s="91"/>
      <c r="D44" s="91"/>
      <c r="E44" s="91"/>
      <c r="F44" s="91"/>
      <c r="P44" s="91" t="s">
        <v>2002</v>
      </c>
      <c r="Q44" s="94">
        <v>2</v>
      </c>
      <c r="S44" s="91" t="s">
        <v>1872</v>
      </c>
      <c r="T44" s="93" t="s">
        <v>1873</v>
      </c>
    </row>
    <row r="45" spans="1:20" ht="16" x14ac:dyDescent="0.2">
      <c r="C45" s="91"/>
      <c r="D45" s="91"/>
      <c r="E45" s="91"/>
      <c r="F45" s="91"/>
      <c r="P45" s="91" t="s">
        <v>2004</v>
      </c>
      <c r="Q45" s="94">
        <v>2</v>
      </c>
      <c r="S45" s="91" t="s">
        <v>2007</v>
      </c>
      <c r="T45" s="94">
        <v>1</v>
      </c>
    </row>
    <row r="46" spans="1:20" ht="32" x14ac:dyDescent="0.2">
      <c r="C46" s="91"/>
      <c r="D46" s="91"/>
      <c r="E46" s="91"/>
      <c r="F46" s="91"/>
      <c r="P46" s="91" t="s">
        <v>2008</v>
      </c>
      <c r="Q46" s="94">
        <v>2</v>
      </c>
      <c r="S46" s="91" t="s">
        <v>2009</v>
      </c>
      <c r="T46" s="94">
        <v>1</v>
      </c>
    </row>
    <row r="47" spans="1:20" ht="32" x14ac:dyDescent="0.2">
      <c r="C47" s="91"/>
      <c r="D47" s="91"/>
      <c r="E47" s="91"/>
      <c r="F47" s="91"/>
      <c r="P47" s="91"/>
      <c r="Q47" s="94"/>
      <c r="S47" s="91" t="s">
        <v>2010</v>
      </c>
      <c r="T47" s="94">
        <v>1</v>
      </c>
    </row>
    <row r="48" spans="1:20" ht="16" x14ac:dyDescent="0.2">
      <c r="P48" s="91"/>
      <c r="Q48" s="93"/>
      <c r="S48" s="91" t="s">
        <v>2011</v>
      </c>
      <c r="T48" s="94">
        <v>1</v>
      </c>
    </row>
    <row r="49" spans="1:20" ht="16" x14ac:dyDescent="0.2">
      <c r="A49" s="90"/>
      <c r="G49"/>
      <c r="H49"/>
      <c r="I49"/>
      <c r="L49"/>
      <c r="S49" s="91" t="s">
        <v>2012</v>
      </c>
      <c r="T49" s="94">
        <v>1</v>
      </c>
    </row>
    <row r="50" spans="1:20" ht="16" x14ac:dyDescent="0.2">
      <c r="A50" s="90"/>
      <c r="G50"/>
      <c r="H50"/>
      <c r="I50"/>
      <c r="L50"/>
      <c r="S50" s="91" t="s">
        <v>2013</v>
      </c>
      <c r="T50" s="94">
        <v>1</v>
      </c>
    </row>
    <row r="51" spans="1:20" x14ac:dyDescent="0.2">
      <c r="A51" s="90"/>
      <c r="G51"/>
      <c r="H51"/>
      <c r="I51"/>
      <c r="L51"/>
    </row>
    <row r="52" spans="1:20" x14ac:dyDescent="0.2">
      <c r="A52" s="90"/>
      <c r="G52"/>
      <c r="H52"/>
      <c r="I52"/>
      <c r="L52"/>
    </row>
    <row r="53" spans="1:20" x14ac:dyDescent="0.2">
      <c r="A53" s="90"/>
      <c r="G53"/>
      <c r="H53"/>
      <c r="I53"/>
      <c r="L53"/>
    </row>
    <row r="54" spans="1:20" x14ac:dyDescent="0.2">
      <c r="A54" s="90"/>
      <c r="G54"/>
      <c r="H54"/>
      <c r="I54"/>
      <c r="L54"/>
    </row>
    <row r="55" spans="1:20" x14ac:dyDescent="0.2">
      <c r="A55" s="90"/>
      <c r="G55"/>
      <c r="H55"/>
      <c r="I55"/>
      <c r="L55"/>
    </row>
    <row r="56" spans="1:20" x14ac:dyDescent="0.2">
      <c r="A56" s="90"/>
      <c r="G56"/>
      <c r="H56"/>
      <c r="I56"/>
      <c r="L56"/>
    </row>
    <row r="57" spans="1:20" x14ac:dyDescent="0.2">
      <c r="A57" s="90"/>
      <c r="G57"/>
      <c r="H57"/>
      <c r="I57"/>
      <c r="J57"/>
      <c r="K57"/>
      <c r="L57"/>
      <c r="P57" s="91"/>
      <c r="Q57" s="94"/>
    </row>
    <row r="58" spans="1:20" x14ac:dyDescent="0.2">
      <c r="A58" s="90"/>
      <c r="G58"/>
      <c r="H58"/>
      <c r="I58"/>
      <c r="J58"/>
      <c r="K58"/>
      <c r="L58"/>
      <c r="P58" s="91"/>
      <c r="Q58" s="94"/>
    </row>
    <row r="59" spans="1:20" x14ac:dyDescent="0.2">
      <c r="A59" s="90"/>
      <c r="G59"/>
      <c r="H59"/>
      <c r="I59"/>
      <c r="J59"/>
      <c r="K59"/>
      <c r="L59"/>
      <c r="P59" s="91"/>
      <c r="Q59" s="93"/>
    </row>
    <row r="60" spans="1:20" x14ac:dyDescent="0.2">
      <c r="A60" s="90"/>
      <c r="G60"/>
      <c r="H60"/>
      <c r="I60"/>
      <c r="J60"/>
      <c r="K60"/>
      <c r="L60"/>
      <c r="P60" s="91"/>
      <c r="Q60" s="94"/>
      <c r="S60" s="91"/>
      <c r="T60" s="93"/>
    </row>
    <row r="61" spans="1:20" x14ac:dyDescent="0.2">
      <c r="A61" s="90"/>
      <c r="G61"/>
      <c r="H61"/>
      <c r="I61"/>
      <c r="J61"/>
      <c r="K61"/>
      <c r="L61"/>
      <c r="P61" s="91"/>
      <c r="Q61" s="94"/>
    </row>
    <row r="62" spans="1:20" x14ac:dyDescent="0.2">
      <c r="A62" s="90"/>
      <c r="G62"/>
      <c r="H62"/>
      <c r="I62"/>
      <c r="J62"/>
      <c r="K62"/>
      <c r="L62"/>
      <c r="P62" s="91"/>
      <c r="Q62" s="94"/>
    </row>
    <row r="63" spans="1:20" x14ac:dyDescent="0.2">
      <c r="B63"/>
      <c r="C63" s="91"/>
      <c r="D63" s="93"/>
      <c r="E63"/>
      <c r="F63"/>
      <c r="G63"/>
      <c r="H63"/>
      <c r="I63"/>
      <c r="J63"/>
      <c r="K63"/>
      <c r="L63"/>
    </row>
    <row r="64" spans="1:20" x14ac:dyDescent="0.2">
      <c r="B64"/>
      <c r="C64" s="91"/>
      <c r="D64" s="93"/>
      <c r="E64"/>
      <c r="F64"/>
      <c r="G64"/>
      <c r="H64"/>
      <c r="I64"/>
      <c r="J64"/>
      <c r="K64"/>
      <c r="L64"/>
    </row>
    <row r="65" spans="1:12" ht="19" x14ac:dyDescent="0.25">
      <c r="A65" s="108" t="s">
        <v>2014</v>
      </c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/>
    </row>
    <row r="66" spans="1:12" x14ac:dyDescent="0.2">
      <c r="A66" s="109" t="s">
        <v>2015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/>
    </row>
    <row r="67" spans="1:12" x14ac:dyDescent="0.2">
      <c r="B67"/>
      <c r="C67"/>
      <c r="D67"/>
      <c r="E67"/>
      <c r="F67"/>
      <c r="G67"/>
      <c r="H67"/>
      <c r="I67"/>
      <c r="J67"/>
      <c r="K67"/>
      <c r="L67"/>
    </row>
    <row r="68" spans="1:12" x14ac:dyDescent="0.2">
      <c r="A68" t="s">
        <v>2016</v>
      </c>
      <c r="B68" t="s">
        <v>2017</v>
      </c>
      <c r="C68" t="s">
        <v>2018</v>
      </c>
      <c r="D68" t="s">
        <v>71</v>
      </c>
      <c r="E68" t="s">
        <v>72</v>
      </c>
      <c r="F68" t="s">
        <v>2019</v>
      </c>
      <c r="G68" t="s">
        <v>2020</v>
      </c>
      <c r="H68" t="s">
        <v>2021</v>
      </c>
      <c r="I68" t="s">
        <v>2022</v>
      </c>
      <c r="J68" t="s">
        <v>2023</v>
      </c>
      <c r="K68" t="s">
        <v>2024</v>
      </c>
      <c r="L68"/>
    </row>
    <row r="69" spans="1:12" x14ac:dyDescent="0.2">
      <c r="A69" s="111">
        <v>1</v>
      </c>
      <c r="B69" t="s">
        <v>1868</v>
      </c>
      <c r="C69" t="s">
        <v>2025</v>
      </c>
      <c r="D69">
        <v>500627</v>
      </c>
      <c r="E69" t="s">
        <v>74</v>
      </c>
      <c r="F69" t="s">
        <v>75</v>
      </c>
      <c r="G69" s="110">
        <v>47703.098550000002</v>
      </c>
      <c r="H69" s="110">
        <v>53441.679810000001</v>
      </c>
      <c r="I69" s="110">
        <v>59749.784339999998</v>
      </c>
      <c r="J69" s="110">
        <v>66664.565979999999</v>
      </c>
      <c r="K69" s="110">
        <v>75614.06783</v>
      </c>
      <c r="L69"/>
    </row>
    <row r="70" spans="1:12" x14ac:dyDescent="0.2">
      <c r="A70" s="111">
        <v>1</v>
      </c>
      <c r="B70" t="s">
        <v>1868</v>
      </c>
      <c r="C70" t="s">
        <v>2025</v>
      </c>
      <c r="D70">
        <v>500838</v>
      </c>
      <c r="E70" t="s">
        <v>76</v>
      </c>
      <c r="F70" t="s">
        <v>77</v>
      </c>
      <c r="G70" s="110">
        <v>6979.7813800000004</v>
      </c>
      <c r="H70" s="110">
        <v>7665.5733099999998</v>
      </c>
      <c r="I70" s="110">
        <v>11188.823249999999</v>
      </c>
      <c r="J70" s="110">
        <v>12046.20818</v>
      </c>
      <c r="K70" s="110">
        <v>13664.056269999999</v>
      </c>
      <c r="L70"/>
    </row>
    <row r="71" spans="1:12" x14ac:dyDescent="0.2">
      <c r="A71" s="111">
        <v>1</v>
      </c>
      <c r="B71" t="s">
        <v>1868</v>
      </c>
      <c r="C71" t="s">
        <v>2025</v>
      </c>
      <c r="D71">
        <v>500730</v>
      </c>
      <c r="E71" t="s">
        <v>96</v>
      </c>
      <c r="F71" t="s">
        <v>97</v>
      </c>
      <c r="G71" s="110">
        <v>1481.0826</v>
      </c>
      <c r="H71" s="110">
        <v>1768.64168</v>
      </c>
      <c r="I71" s="110">
        <v>2037.7746999999999</v>
      </c>
      <c r="J71" s="110">
        <v>2484.5914299999999</v>
      </c>
      <c r="K71" s="110">
        <v>2663.5214799999999</v>
      </c>
      <c r="L71"/>
    </row>
    <row r="72" spans="1:12" x14ac:dyDescent="0.2">
      <c r="A72" s="111">
        <v>1</v>
      </c>
      <c r="B72" t="s">
        <v>1868</v>
      </c>
      <c r="C72" t="s">
        <v>2025</v>
      </c>
      <c r="D72">
        <v>500300</v>
      </c>
      <c r="E72" t="s">
        <v>102</v>
      </c>
      <c r="F72" t="s">
        <v>103</v>
      </c>
      <c r="G72" s="110">
        <v>1911.6213399999999</v>
      </c>
      <c r="H72" s="110">
        <v>2056.1624700000002</v>
      </c>
      <c r="I72" s="110">
        <v>2169.0058100000001</v>
      </c>
      <c r="J72" s="110">
        <v>2282.7880300000002</v>
      </c>
      <c r="K72" s="110">
        <v>2426.7429400000001</v>
      </c>
      <c r="L72"/>
    </row>
    <row r="73" spans="1:12" x14ac:dyDescent="0.2">
      <c r="A73" s="111">
        <v>1</v>
      </c>
      <c r="B73" t="s">
        <v>1868</v>
      </c>
      <c r="C73" t="s">
        <v>2025</v>
      </c>
      <c r="D73">
        <v>500994</v>
      </c>
      <c r="E73" t="s">
        <v>172</v>
      </c>
      <c r="F73" t="s">
        <v>173</v>
      </c>
      <c r="G73" s="110">
        <v>356.60277000000002</v>
      </c>
      <c r="H73" s="110">
        <v>442.93804</v>
      </c>
      <c r="I73" s="110">
        <v>531.46950000000004</v>
      </c>
      <c r="J73" s="110">
        <v>606.34473000000003</v>
      </c>
      <c r="K73" s="110">
        <v>699.54228000000001</v>
      </c>
      <c r="L73"/>
    </row>
    <row r="74" spans="1:12" x14ac:dyDescent="0.2">
      <c r="A74" s="111">
        <v>1</v>
      </c>
      <c r="B74" t="s">
        <v>1868</v>
      </c>
      <c r="C74" t="s">
        <v>2025</v>
      </c>
      <c r="D74">
        <v>500629</v>
      </c>
      <c r="E74" t="s">
        <v>183</v>
      </c>
      <c r="F74" t="s">
        <v>184</v>
      </c>
      <c r="G74" s="110">
        <v>537.36906999999997</v>
      </c>
      <c r="H74" s="110">
        <v>579.67929999999899</v>
      </c>
      <c r="I74" s="110">
        <v>599.42578000000003</v>
      </c>
      <c r="J74" s="110">
        <v>629.08020999999997</v>
      </c>
      <c r="K74" s="110">
        <v>656.69046000000003</v>
      </c>
      <c r="L74"/>
    </row>
    <row r="75" spans="1:12" x14ac:dyDescent="0.2">
      <c r="A75" s="111">
        <v>1</v>
      </c>
      <c r="B75" t="s">
        <v>1868</v>
      </c>
      <c r="C75" t="s">
        <v>2025</v>
      </c>
      <c r="D75">
        <v>500628</v>
      </c>
      <c r="E75" t="s">
        <v>187</v>
      </c>
      <c r="F75" t="s">
        <v>188</v>
      </c>
      <c r="G75" s="110">
        <v>431.18907999999999</v>
      </c>
      <c r="H75" s="110">
        <v>502.98468000000003</v>
      </c>
      <c r="I75" s="110">
        <v>544.83572000000004</v>
      </c>
      <c r="J75" s="110">
        <v>609.31631000000004</v>
      </c>
      <c r="K75" s="110">
        <v>650.75693000000001</v>
      </c>
      <c r="L75"/>
    </row>
    <row r="76" spans="1:12" x14ac:dyDescent="0.2">
      <c r="A76" s="111">
        <v>1</v>
      </c>
      <c r="B76" t="s">
        <v>1868</v>
      </c>
      <c r="C76" t="s">
        <v>2025</v>
      </c>
      <c r="D76">
        <v>500115</v>
      </c>
      <c r="E76" t="s">
        <v>267</v>
      </c>
      <c r="F76" t="s">
        <v>268</v>
      </c>
      <c r="G76" s="110">
        <v>290</v>
      </c>
      <c r="H76" s="110">
        <v>300</v>
      </c>
      <c r="I76" s="110">
        <v>300</v>
      </c>
      <c r="J76" s="110">
        <v>313.5</v>
      </c>
      <c r="K76" s="110">
        <v>327</v>
      </c>
      <c r="L76"/>
    </row>
    <row r="77" spans="1:12" x14ac:dyDescent="0.2">
      <c r="A77" s="111">
        <v>1</v>
      </c>
      <c r="B77" t="s">
        <v>1868</v>
      </c>
      <c r="C77" t="s">
        <v>2025</v>
      </c>
      <c r="D77">
        <v>500004</v>
      </c>
      <c r="E77" t="s">
        <v>283</v>
      </c>
      <c r="F77" t="s">
        <v>284</v>
      </c>
      <c r="G77" s="110">
        <v>260.58821</v>
      </c>
      <c r="H77" s="110">
        <v>277.10923000000003</v>
      </c>
      <c r="I77" s="110">
        <v>286.78255999999999</v>
      </c>
      <c r="J77" s="110">
        <v>308.92097000000001</v>
      </c>
      <c r="K77" s="110">
        <v>304.91644000000002</v>
      </c>
      <c r="L77"/>
    </row>
    <row r="78" spans="1:12" x14ac:dyDescent="0.2">
      <c r="A78" s="111">
        <v>1</v>
      </c>
      <c r="B78" t="s">
        <v>1868</v>
      </c>
      <c r="C78" t="s">
        <v>2025</v>
      </c>
      <c r="D78">
        <v>500612</v>
      </c>
      <c r="E78" t="s">
        <v>303</v>
      </c>
      <c r="F78" t="s">
        <v>304</v>
      </c>
      <c r="G78" s="110">
        <v>122.30144</v>
      </c>
      <c r="H78" s="110">
        <v>148.05043000000001</v>
      </c>
      <c r="I78" s="110">
        <v>171.46587</v>
      </c>
      <c r="J78" s="110">
        <v>194.54317</v>
      </c>
      <c r="K78" s="110">
        <v>230.13964999999999</v>
      </c>
      <c r="L78"/>
    </row>
    <row r="79" spans="1:12" x14ac:dyDescent="0.2">
      <c r="A79" s="111">
        <v>1</v>
      </c>
      <c r="B79" t="s">
        <v>1868</v>
      </c>
      <c r="C79" t="s">
        <v>2025</v>
      </c>
      <c r="D79">
        <v>500512</v>
      </c>
      <c r="E79" t="s">
        <v>309</v>
      </c>
      <c r="F79" t="s">
        <v>310</v>
      </c>
      <c r="G79" s="110">
        <v>36.945999999999998</v>
      </c>
      <c r="H79" s="110">
        <v>78.650059999999996</v>
      </c>
      <c r="I79" s="110">
        <v>135.9076</v>
      </c>
      <c r="J79" s="110">
        <v>179.16784999999999</v>
      </c>
      <c r="K79" s="110">
        <v>219.01132999999999</v>
      </c>
      <c r="L79"/>
    </row>
    <row r="80" spans="1:12" x14ac:dyDescent="0.2">
      <c r="A80" s="111">
        <v>1</v>
      </c>
      <c r="B80" t="s">
        <v>1868</v>
      </c>
      <c r="C80" t="s">
        <v>2025</v>
      </c>
      <c r="D80">
        <v>500669</v>
      </c>
      <c r="E80" t="s">
        <v>323</v>
      </c>
      <c r="F80" t="s">
        <v>324</v>
      </c>
      <c r="G80" s="110">
        <v>152.66482999999999</v>
      </c>
      <c r="H80" s="110">
        <v>164.6901</v>
      </c>
      <c r="I80" s="110">
        <v>173.19310999999999</v>
      </c>
      <c r="J80" s="110">
        <v>186.71037999999999</v>
      </c>
      <c r="K80" s="110">
        <v>194.46674999999999</v>
      </c>
      <c r="L80"/>
    </row>
    <row r="81" spans="1:12" x14ac:dyDescent="0.2">
      <c r="A81" s="111">
        <v>1</v>
      </c>
      <c r="B81" t="s">
        <v>1868</v>
      </c>
      <c r="C81" t="s">
        <v>2025</v>
      </c>
      <c r="D81">
        <v>500058</v>
      </c>
      <c r="E81" t="s">
        <v>368</v>
      </c>
      <c r="F81" t="s">
        <v>369</v>
      </c>
      <c r="G81" s="110">
        <v>113.35205000000001</v>
      </c>
      <c r="H81" s="110">
        <v>113.35137</v>
      </c>
      <c r="I81" s="110">
        <v>127.92332</v>
      </c>
      <c r="J81" s="110">
        <v>137.27874</v>
      </c>
      <c r="K81" s="110">
        <v>143.00102000000001</v>
      </c>
      <c r="L81"/>
    </row>
    <row r="82" spans="1:12" x14ac:dyDescent="0.2">
      <c r="A82" s="111">
        <v>1</v>
      </c>
      <c r="B82" t="s">
        <v>1868</v>
      </c>
      <c r="C82" t="s">
        <v>2025</v>
      </c>
      <c r="D82">
        <v>500126</v>
      </c>
      <c r="E82" t="s">
        <v>372</v>
      </c>
      <c r="F82" t="s">
        <v>373</v>
      </c>
      <c r="G82" s="110">
        <v>96.836259999999996</v>
      </c>
      <c r="H82" s="110">
        <v>98.855639999999994</v>
      </c>
      <c r="I82" s="110">
        <v>99.838440000000006</v>
      </c>
      <c r="J82" s="110">
        <v>117.93002</v>
      </c>
      <c r="K82" s="110">
        <v>139.16334000000001</v>
      </c>
      <c r="L82"/>
    </row>
    <row r="83" spans="1:12" x14ac:dyDescent="0.2">
      <c r="A83" s="111">
        <v>1</v>
      </c>
      <c r="B83" t="s">
        <v>1868</v>
      </c>
      <c r="C83" t="s">
        <v>2025</v>
      </c>
      <c r="D83">
        <v>501206</v>
      </c>
      <c r="E83" t="s">
        <v>376</v>
      </c>
      <c r="F83" t="s">
        <v>377</v>
      </c>
      <c r="G83" s="110">
        <v>0</v>
      </c>
      <c r="H83" s="110">
        <v>0</v>
      </c>
      <c r="I83" s="110">
        <v>0</v>
      </c>
      <c r="J83" s="110">
        <v>0.59399999999999997</v>
      </c>
      <c r="K83" s="110">
        <v>137.36744999999999</v>
      </c>
      <c r="L83"/>
    </row>
    <row r="84" spans="1:12" x14ac:dyDescent="0.2">
      <c r="A84" s="111">
        <v>1</v>
      </c>
      <c r="B84" t="s">
        <v>1868</v>
      </c>
      <c r="C84" t="s">
        <v>2025</v>
      </c>
      <c r="D84">
        <v>500152</v>
      </c>
      <c r="E84" t="s">
        <v>396</v>
      </c>
      <c r="F84" t="s">
        <v>397</v>
      </c>
      <c r="G84" s="110">
        <v>81.202520000000007</v>
      </c>
      <c r="H84" s="110">
        <v>86.478880000000004</v>
      </c>
      <c r="I84" s="110">
        <v>95.861249999999998</v>
      </c>
      <c r="J84" s="110">
        <v>102.80963</v>
      </c>
      <c r="K84" s="110">
        <v>111.71821</v>
      </c>
      <c r="L84"/>
    </row>
    <row r="85" spans="1:12" x14ac:dyDescent="0.2">
      <c r="A85" s="111">
        <v>1</v>
      </c>
      <c r="B85" t="s">
        <v>1868</v>
      </c>
      <c r="C85" t="s">
        <v>2025</v>
      </c>
      <c r="D85">
        <v>500610</v>
      </c>
      <c r="E85" t="s">
        <v>403</v>
      </c>
      <c r="F85" t="s">
        <v>404</v>
      </c>
      <c r="G85" s="110">
        <v>192.35499999999999</v>
      </c>
      <c r="H85" s="110">
        <v>190.42167000000001</v>
      </c>
      <c r="I85" s="110">
        <v>206.38</v>
      </c>
      <c r="J85" s="110">
        <v>223.84</v>
      </c>
      <c r="K85" s="110">
        <v>96.5</v>
      </c>
      <c r="L85"/>
    </row>
    <row r="86" spans="1:12" x14ac:dyDescent="0.2">
      <c r="A86" s="111">
        <v>1</v>
      </c>
      <c r="B86" t="s">
        <v>1868</v>
      </c>
      <c r="C86" t="s">
        <v>2025</v>
      </c>
      <c r="D86">
        <v>500034</v>
      </c>
      <c r="E86" t="s">
        <v>415</v>
      </c>
      <c r="F86" t="s">
        <v>416</v>
      </c>
      <c r="G86" s="110">
        <v>84.351230000000001</v>
      </c>
      <c r="H86" s="110">
        <v>84.876080000000002</v>
      </c>
      <c r="I86" s="110">
        <v>87.574070000000006</v>
      </c>
      <c r="J86" s="110">
        <v>87.949870000000004</v>
      </c>
      <c r="K86" s="110">
        <v>90.880669999999995</v>
      </c>
      <c r="L86"/>
    </row>
    <row r="87" spans="1:12" x14ac:dyDescent="0.2">
      <c r="A87" s="111">
        <v>1</v>
      </c>
      <c r="B87" t="s">
        <v>1868</v>
      </c>
      <c r="C87" t="s">
        <v>2025</v>
      </c>
      <c r="D87">
        <v>510000</v>
      </c>
      <c r="E87" t="s">
        <v>444</v>
      </c>
      <c r="F87" t="s">
        <v>445</v>
      </c>
      <c r="G87" s="110">
        <v>81.157719999999998</v>
      </c>
      <c r="H87" s="110">
        <v>77.446680000000001</v>
      </c>
      <c r="I87" s="110">
        <v>73.552459999999996</v>
      </c>
      <c r="J87" s="110">
        <v>73.700890000000001</v>
      </c>
      <c r="K87" s="110">
        <v>76.191760000000002</v>
      </c>
      <c r="L87"/>
    </row>
    <row r="88" spans="1:12" x14ac:dyDescent="0.2">
      <c r="A88" s="111">
        <v>1</v>
      </c>
      <c r="B88" t="s">
        <v>1868</v>
      </c>
      <c r="C88" t="s">
        <v>2025</v>
      </c>
      <c r="D88">
        <v>500135</v>
      </c>
      <c r="E88" t="s">
        <v>482</v>
      </c>
      <c r="F88" t="s">
        <v>483</v>
      </c>
      <c r="G88" s="110">
        <v>38.186999999999998</v>
      </c>
      <c r="H88" s="110">
        <v>42.612319999999997</v>
      </c>
      <c r="I88" s="110">
        <v>44.706919999999997</v>
      </c>
      <c r="J88" s="110">
        <v>50.482080000000003</v>
      </c>
      <c r="K88" s="110">
        <v>51.276629999999997</v>
      </c>
      <c r="L88"/>
    </row>
    <row r="89" spans="1:12" x14ac:dyDescent="0.2">
      <c r="A89" s="111">
        <v>1</v>
      </c>
      <c r="B89" t="s">
        <v>1868</v>
      </c>
      <c r="C89" t="s">
        <v>2025</v>
      </c>
      <c r="D89">
        <v>501244</v>
      </c>
      <c r="E89" t="s">
        <v>498</v>
      </c>
      <c r="F89" t="s">
        <v>499</v>
      </c>
      <c r="G89" s="110">
        <v>0</v>
      </c>
      <c r="H89" s="110">
        <v>0</v>
      </c>
      <c r="I89" s="110">
        <v>0</v>
      </c>
      <c r="J89" s="110">
        <v>0</v>
      </c>
      <c r="K89" s="110">
        <v>42.159320000000001</v>
      </c>
      <c r="L89"/>
    </row>
    <row r="90" spans="1:12" x14ac:dyDescent="0.2">
      <c r="A90" s="111">
        <v>1</v>
      </c>
      <c r="B90" t="s">
        <v>1868</v>
      </c>
      <c r="C90" t="s">
        <v>2025</v>
      </c>
      <c r="D90">
        <v>500746</v>
      </c>
      <c r="E90" t="s">
        <v>512</v>
      </c>
      <c r="F90" t="s">
        <v>513</v>
      </c>
      <c r="G90" s="110">
        <v>28.656500000000001</v>
      </c>
      <c r="H90" s="110">
        <v>30.631599999999999</v>
      </c>
      <c r="I90" s="110">
        <v>37.255499999999998</v>
      </c>
      <c r="J90" s="110">
        <v>37.571249999999999</v>
      </c>
      <c r="K90" s="110">
        <v>36.911549999999998</v>
      </c>
      <c r="L90"/>
    </row>
    <row r="91" spans="1:12" x14ac:dyDescent="0.2">
      <c r="A91" s="111">
        <v>1</v>
      </c>
      <c r="B91" t="s">
        <v>1868</v>
      </c>
      <c r="C91" t="s">
        <v>2025</v>
      </c>
      <c r="D91">
        <v>500970</v>
      </c>
      <c r="E91" t="s">
        <v>516</v>
      </c>
      <c r="F91" t="s">
        <v>517</v>
      </c>
      <c r="G91" s="110">
        <v>28.475200000000001</v>
      </c>
      <c r="H91" s="110">
        <v>31.501799999999999</v>
      </c>
      <c r="I91" s="110">
        <v>34.104500000000002</v>
      </c>
      <c r="J91" s="110">
        <v>33.694049999999997</v>
      </c>
      <c r="K91" s="110">
        <v>35.797199999999997</v>
      </c>
      <c r="L91"/>
    </row>
    <row r="92" spans="1:12" x14ac:dyDescent="0.2">
      <c r="A92" s="111">
        <v>1</v>
      </c>
      <c r="B92" t="s">
        <v>1868</v>
      </c>
      <c r="C92" t="s">
        <v>2025</v>
      </c>
      <c r="D92">
        <v>500965</v>
      </c>
      <c r="E92" t="s">
        <v>522</v>
      </c>
      <c r="F92" t="s">
        <v>523</v>
      </c>
      <c r="G92" s="110">
        <v>28.339500000000001</v>
      </c>
      <c r="H92" s="110">
        <v>30.075500000000002</v>
      </c>
      <c r="I92" s="110">
        <v>31.9785</v>
      </c>
      <c r="J92" s="110">
        <v>34.103099999999998</v>
      </c>
      <c r="K92" s="110">
        <v>33.886749999999999</v>
      </c>
      <c r="L92"/>
    </row>
    <row r="93" spans="1:12" x14ac:dyDescent="0.2">
      <c r="A93" s="111">
        <v>1</v>
      </c>
      <c r="B93" t="s">
        <v>1868</v>
      </c>
      <c r="C93" t="s">
        <v>2025</v>
      </c>
      <c r="D93">
        <v>500967</v>
      </c>
      <c r="E93" t="s">
        <v>532</v>
      </c>
      <c r="F93" t="s">
        <v>533</v>
      </c>
      <c r="G93" s="110">
        <v>22.2</v>
      </c>
      <c r="H93" s="110">
        <v>25.000250000000001</v>
      </c>
      <c r="I93" s="110">
        <v>29.91695</v>
      </c>
      <c r="J93" s="110">
        <v>30.378599999999999</v>
      </c>
      <c r="K93" s="110">
        <v>30.017199999999999</v>
      </c>
      <c r="L93"/>
    </row>
    <row r="94" spans="1:12" x14ac:dyDescent="0.2">
      <c r="A94" s="111">
        <v>1</v>
      </c>
      <c r="B94" t="s">
        <v>1868</v>
      </c>
      <c r="C94" t="s">
        <v>2025</v>
      </c>
      <c r="D94">
        <v>500606</v>
      </c>
      <c r="E94" t="s">
        <v>540</v>
      </c>
      <c r="F94" t="s">
        <v>541</v>
      </c>
      <c r="G94" s="110">
        <v>46.28933</v>
      </c>
      <c r="H94" s="110">
        <v>36.099820000000101</v>
      </c>
      <c r="I94" s="110">
        <v>32.204239999999999</v>
      </c>
      <c r="J94" s="110">
        <v>28.220590000000001</v>
      </c>
      <c r="K94" s="110">
        <v>25.92118</v>
      </c>
      <c r="L94"/>
    </row>
    <row r="95" spans="1:12" x14ac:dyDescent="0.2">
      <c r="A95" s="111">
        <v>1</v>
      </c>
      <c r="B95" t="s">
        <v>1868</v>
      </c>
      <c r="C95" t="s">
        <v>2025</v>
      </c>
      <c r="D95">
        <v>500969</v>
      </c>
      <c r="E95" t="s">
        <v>548</v>
      </c>
      <c r="F95" t="s">
        <v>549</v>
      </c>
      <c r="G95" s="110">
        <v>16.241250000000001</v>
      </c>
      <c r="H95" s="110">
        <v>17.91675</v>
      </c>
      <c r="I95" s="110">
        <v>19.699950000000001</v>
      </c>
      <c r="J95" s="110">
        <v>21.3171</v>
      </c>
      <c r="K95" s="110">
        <v>23.545349999999999</v>
      </c>
      <c r="L95"/>
    </row>
    <row r="96" spans="1:12" x14ac:dyDescent="0.2">
      <c r="A96" s="111">
        <v>1</v>
      </c>
      <c r="B96" t="s">
        <v>1868</v>
      </c>
      <c r="C96" t="s">
        <v>2025</v>
      </c>
      <c r="D96">
        <v>500968</v>
      </c>
      <c r="E96" t="s">
        <v>554</v>
      </c>
      <c r="F96" t="s">
        <v>555</v>
      </c>
      <c r="G96" s="110">
        <v>17.835000000000001</v>
      </c>
      <c r="H96" s="110">
        <v>22.125</v>
      </c>
      <c r="I96" s="110">
        <v>22.986899999999999</v>
      </c>
      <c r="J96" s="110">
        <v>22.459499999999998</v>
      </c>
      <c r="K96" s="110">
        <v>22.741900000000001</v>
      </c>
      <c r="L96"/>
    </row>
    <row r="97" spans="1:12" x14ac:dyDescent="0.2">
      <c r="A97" s="111">
        <v>1</v>
      </c>
      <c r="B97" t="s">
        <v>1868</v>
      </c>
      <c r="C97" t="s">
        <v>2025</v>
      </c>
      <c r="D97">
        <v>500060</v>
      </c>
      <c r="E97" t="s">
        <v>570</v>
      </c>
      <c r="F97" t="s">
        <v>571</v>
      </c>
      <c r="G97" s="110">
        <v>20.31296</v>
      </c>
      <c r="H97" s="110">
        <v>19.521599999999999</v>
      </c>
      <c r="I97" s="110">
        <v>19.509</v>
      </c>
      <c r="J97" s="110">
        <v>20.076899999999998</v>
      </c>
      <c r="K97" s="110">
        <v>19.664549999999998</v>
      </c>
      <c r="L97"/>
    </row>
    <row r="98" spans="1:12" x14ac:dyDescent="0.2">
      <c r="A98" s="111">
        <v>1</v>
      </c>
      <c r="B98" t="s">
        <v>1868</v>
      </c>
      <c r="C98" t="s">
        <v>2025</v>
      </c>
      <c r="D98">
        <v>500966</v>
      </c>
      <c r="E98" t="s">
        <v>576</v>
      </c>
      <c r="F98" t="s">
        <v>577</v>
      </c>
      <c r="G98" s="110">
        <v>17.043299999999999</v>
      </c>
      <c r="H98" s="110">
        <v>18.874700000000001</v>
      </c>
      <c r="I98" s="110">
        <v>20.540649999999999</v>
      </c>
      <c r="J98" s="110">
        <v>18.438700000000001</v>
      </c>
      <c r="K98" s="110">
        <v>18.672550000000001</v>
      </c>
      <c r="L98"/>
    </row>
    <row r="99" spans="1:12" x14ac:dyDescent="0.2">
      <c r="A99" s="111">
        <v>1</v>
      </c>
      <c r="B99" t="s">
        <v>1868</v>
      </c>
      <c r="C99" t="s">
        <v>2025</v>
      </c>
      <c r="D99">
        <v>500910</v>
      </c>
      <c r="E99" t="s">
        <v>598</v>
      </c>
      <c r="F99" t="s">
        <v>599</v>
      </c>
      <c r="G99" s="110">
        <v>11.191549999999999</v>
      </c>
      <c r="H99" s="110">
        <v>9.28125</v>
      </c>
      <c r="I99" s="110">
        <v>9.141</v>
      </c>
      <c r="J99" s="110">
        <v>10.5525</v>
      </c>
      <c r="K99" s="110">
        <v>11.3758</v>
      </c>
      <c r="L99"/>
    </row>
    <row r="100" spans="1:12" x14ac:dyDescent="0.2">
      <c r="A100" s="111">
        <v>1</v>
      </c>
      <c r="B100" t="s">
        <v>1868</v>
      </c>
      <c r="C100" t="s">
        <v>2025</v>
      </c>
      <c r="D100">
        <v>500754</v>
      </c>
      <c r="E100" t="s">
        <v>600</v>
      </c>
      <c r="F100" t="s">
        <v>601</v>
      </c>
      <c r="G100" s="110">
        <v>4.2515000000000001</v>
      </c>
      <c r="H100" s="110">
        <v>4.93</v>
      </c>
      <c r="I100" s="110">
        <v>7.8224999999999998</v>
      </c>
      <c r="J100" s="110">
        <v>8.3818000000000001</v>
      </c>
      <c r="K100" s="110">
        <v>11.1921</v>
      </c>
      <c r="L100"/>
    </row>
    <row r="101" spans="1:12" x14ac:dyDescent="0.2">
      <c r="A101" s="111">
        <v>1</v>
      </c>
      <c r="B101" t="s">
        <v>1868</v>
      </c>
      <c r="C101" t="s">
        <v>2025</v>
      </c>
      <c r="D101">
        <v>500915</v>
      </c>
      <c r="E101" t="s">
        <v>602</v>
      </c>
      <c r="F101" t="s">
        <v>603</v>
      </c>
      <c r="G101" s="110">
        <v>7.2321</v>
      </c>
      <c r="H101" s="110">
        <v>7.6712999999999996</v>
      </c>
      <c r="I101" s="110">
        <v>7.3860999999999999</v>
      </c>
      <c r="J101" s="110">
        <v>9.1871399999999994</v>
      </c>
      <c r="K101" s="110">
        <v>10.825699999999999</v>
      </c>
      <c r="L101"/>
    </row>
    <row r="102" spans="1:12" x14ac:dyDescent="0.2">
      <c r="A102" s="111">
        <v>1</v>
      </c>
      <c r="B102" t="s">
        <v>1868</v>
      </c>
      <c r="C102" t="s">
        <v>2025</v>
      </c>
      <c r="D102">
        <v>500690</v>
      </c>
      <c r="E102" t="s">
        <v>616</v>
      </c>
      <c r="F102" t="s">
        <v>617</v>
      </c>
      <c r="G102" s="110">
        <v>7.3295700000000004</v>
      </c>
      <c r="H102" s="110">
        <v>6.88192</v>
      </c>
      <c r="I102" s="110">
        <v>7.2671900000000003</v>
      </c>
      <c r="J102" s="110">
        <v>8.2595899999999993</v>
      </c>
      <c r="K102" s="110">
        <v>8.9324999999999992</v>
      </c>
      <c r="L102"/>
    </row>
    <row r="103" spans="1:12" x14ac:dyDescent="0.2">
      <c r="A103" s="111">
        <v>1</v>
      </c>
      <c r="B103" t="s">
        <v>1868</v>
      </c>
      <c r="C103" t="s">
        <v>2025</v>
      </c>
      <c r="D103">
        <v>500914</v>
      </c>
      <c r="E103" t="s">
        <v>621</v>
      </c>
      <c r="F103" t="s">
        <v>622</v>
      </c>
      <c r="G103" s="110">
        <v>3.0558000000000001</v>
      </c>
      <c r="H103" s="110">
        <v>4.2099000000000002</v>
      </c>
      <c r="I103" s="110">
        <v>5.8185500000000001</v>
      </c>
      <c r="J103" s="110">
        <v>6.6053199999999999</v>
      </c>
      <c r="K103" s="110">
        <v>8.0741499999999995</v>
      </c>
      <c r="L103"/>
    </row>
    <row r="104" spans="1:12" x14ac:dyDescent="0.2">
      <c r="A104" s="111">
        <v>1</v>
      </c>
      <c r="B104" t="s">
        <v>1868</v>
      </c>
      <c r="C104" t="s">
        <v>2025</v>
      </c>
      <c r="D104">
        <v>500061</v>
      </c>
      <c r="E104" t="s">
        <v>623</v>
      </c>
      <c r="F104" t="s">
        <v>624</v>
      </c>
      <c r="G104" s="110">
        <v>9.2364999999999995</v>
      </c>
      <c r="H104" s="110">
        <v>9.1167999999999996</v>
      </c>
      <c r="I104" s="110">
        <v>8.5974000000000004</v>
      </c>
      <c r="J104" s="110">
        <v>8.6740499999999994</v>
      </c>
      <c r="K104" s="110">
        <v>8.0673499999999994</v>
      </c>
      <c r="L104"/>
    </row>
    <row r="105" spans="1:12" x14ac:dyDescent="0.2">
      <c r="A105" s="111">
        <v>1</v>
      </c>
      <c r="B105" t="s">
        <v>1868</v>
      </c>
      <c r="C105" t="s">
        <v>2025</v>
      </c>
      <c r="D105">
        <v>500847</v>
      </c>
      <c r="E105" t="s">
        <v>625</v>
      </c>
      <c r="F105" t="s">
        <v>626</v>
      </c>
      <c r="G105" s="110">
        <v>56.263750000000002</v>
      </c>
      <c r="H105" s="110">
        <v>41.917499999999997</v>
      </c>
      <c r="I105" s="110">
        <v>12.592499999999999</v>
      </c>
      <c r="J105" s="110">
        <v>10.2925</v>
      </c>
      <c r="K105" s="110">
        <v>7.9924999999999997</v>
      </c>
      <c r="L105"/>
    </row>
    <row r="106" spans="1:12" x14ac:dyDescent="0.2">
      <c r="A106" s="111">
        <v>1</v>
      </c>
      <c r="B106" t="s">
        <v>1868</v>
      </c>
      <c r="C106" t="s">
        <v>2025</v>
      </c>
      <c r="D106">
        <v>500067</v>
      </c>
      <c r="E106" t="s">
        <v>627</v>
      </c>
      <c r="F106" t="s">
        <v>628</v>
      </c>
      <c r="G106" s="110">
        <v>10.745380000000001</v>
      </c>
      <c r="H106" s="110">
        <v>9.9022299999999994</v>
      </c>
      <c r="I106" s="110">
        <v>6.8106600000000004</v>
      </c>
      <c r="J106" s="110">
        <v>7.4306700000000001</v>
      </c>
      <c r="K106" s="110">
        <v>7.8641699999999997</v>
      </c>
      <c r="L106"/>
    </row>
    <row r="107" spans="1:12" x14ac:dyDescent="0.2">
      <c r="A107" s="111">
        <v>1</v>
      </c>
      <c r="B107" t="s">
        <v>1868</v>
      </c>
      <c r="C107" t="s">
        <v>2025</v>
      </c>
      <c r="D107">
        <v>501171</v>
      </c>
      <c r="E107" t="s">
        <v>629</v>
      </c>
      <c r="F107" t="s">
        <v>630</v>
      </c>
      <c r="G107" s="110">
        <v>0</v>
      </c>
      <c r="H107" s="110">
        <v>0</v>
      </c>
      <c r="I107" s="110">
        <v>0.80798000000000003</v>
      </c>
      <c r="J107" s="110">
        <v>5.8138500000000004</v>
      </c>
      <c r="K107" s="110">
        <v>7.7965</v>
      </c>
      <c r="L107"/>
    </row>
    <row r="108" spans="1:12" x14ac:dyDescent="0.2">
      <c r="A108" s="111">
        <v>1</v>
      </c>
      <c r="B108" t="s">
        <v>1868</v>
      </c>
      <c r="C108" t="s">
        <v>2025</v>
      </c>
      <c r="D108">
        <v>500066</v>
      </c>
      <c r="E108" t="s">
        <v>631</v>
      </c>
      <c r="F108" t="s">
        <v>632</v>
      </c>
      <c r="G108" s="110">
        <v>4.9234600000000004</v>
      </c>
      <c r="H108" s="110">
        <v>3.5594999999999999</v>
      </c>
      <c r="I108" s="110">
        <v>3.7191000000000001</v>
      </c>
      <c r="J108" s="110">
        <v>3.5260600000000002</v>
      </c>
      <c r="K108" s="110">
        <v>7.6017099999999997</v>
      </c>
      <c r="L108"/>
    </row>
    <row r="109" spans="1:12" x14ac:dyDescent="0.2">
      <c r="A109" s="111">
        <v>1</v>
      </c>
      <c r="B109" t="s">
        <v>1868</v>
      </c>
      <c r="C109" t="s">
        <v>2025</v>
      </c>
      <c r="D109">
        <v>500839</v>
      </c>
      <c r="E109" t="s">
        <v>641</v>
      </c>
      <c r="F109" t="s">
        <v>642</v>
      </c>
      <c r="G109" s="110">
        <v>8.3668999999999993</v>
      </c>
      <c r="H109" s="110">
        <v>7.0971000000000002</v>
      </c>
      <c r="I109" s="110">
        <v>7.1986499999999998</v>
      </c>
      <c r="J109" s="110">
        <v>7.5208500000000003</v>
      </c>
      <c r="K109" s="110">
        <v>7.2018000000000004</v>
      </c>
      <c r="L109"/>
    </row>
    <row r="110" spans="1:12" x14ac:dyDescent="0.2">
      <c r="A110" s="111">
        <v>1</v>
      </c>
      <c r="B110" t="s">
        <v>1868</v>
      </c>
      <c r="C110" t="s">
        <v>2025</v>
      </c>
      <c r="D110">
        <v>501104</v>
      </c>
      <c r="E110" t="s">
        <v>643</v>
      </c>
      <c r="F110" t="s">
        <v>644</v>
      </c>
      <c r="G110" s="110">
        <v>0</v>
      </c>
      <c r="H110" s="110">
        <v>0</v>
      </c>
      <c r="I110" s="110">
        <v>3.41</v>
      </c>
      <c r="J110" s="110">
        <v>9.1300000000000008</v>
      </c>
      <c r="K110" s="110">
        <v>6.82</v>
      </c>
      <c r="L110"/>
    </row>
    <row r="111" spans="1:12" x14ac:dyDescent="0.2">
      <c r="A111" s="111">
        <v>1</v>
      </c>
      <c r="B111" t="s">
        <v>1868</v>
      </c>
      <c r="C111" t="s">
        <v>2025</v>
      </c>
      <c r="D111">
        <v>500913</v>
      </c>
      <c r="E111" t="s">
        <v>645</v>
      </c>
      <c r="F111" t="s">
        <v>646</v>
      </c>
      <c r="G111" s="110">
        <v>3.7193999999999998</v>
      </c>
      <c r="H111" s="110">
        <v>4.8554000000000004</v>
      </c>
      <c r="I111" s="110">
        <v>6.0748899999999999</v>
      </c>
      <c r="J111" s="110">
        <v>6.0590999999999999</v>
      </c>
      <c r="K111" s="110">
        <v>6.76675</v>
      </c>
      <c r="L111"/>
    </row>
    <row r="112" spans="1:12" x14ac:dyDescent="0.2">
      <c r="A112" s="111">
        <v>1</v>
      </c>
      <c r="B112" t="s">
        <v>1868</v>
      </c>
      <c r="C112" t="s">
        <v>2025</v>
      </c>
      <c r="D112">
        <v>500625</v>
      </c>
      <c r="E112" t="s">
        <v>665</v>
      </c>
      <c r="F112" t="s">
        <v>666</v>
      </c>
      <c r="G112" s="110">
        <v>21.013500000000001</v>
      </c>
      <c r="H112" s="110">
        <v>23.90935</v>
      </c>
      <c r="I112" s="110">
        <v>15.60337</v>
      </c>
      <c r="J112" s="110">
        <v>7.92882</v>
      </c>
      <c r="K112" s="110">
        <v>5.8872799999999996</v>
      </c>
      <c r="L112"/>
    </row>
    <row r="113" spans="1:12" x14ac:dyDescent="0.2">
      <c r="A113" s="111">
        <v>1</v>
      </c>
      <c r="B113" t="s">
        <v>1868</v>
      </c>
      <c r="C113" t="s">
        <v>2025</v>
      </c>
      <c r="D113">
        <v>500909</v>
      </c>
      <c r="E113" t="s">
        <v>667</v>
      </c>
      <c r="F113" t="s">
        <v>668</v>
      </c>
      <c r="G113" s="110">
        <v>6.2909199999999998</v>
      </c>
      <c r="H113" s="110">
        <v>5.0087200000000003</v>
      </c>
      <c r="I113" s="110">
        <v>5.6647499999999997</v>
      </c>
      <c r="J113" s="110">
        <v>5.8914</v>
      </c>
      <c r="K113" s="110">
        <v>5.6471999999999998</v>
      </c>
      <c r="L113"/>
    </row>
    <row r="114" spans="1:12" x14ac:dyDescent="0.2">
      <c r="A114" s="111">
        <v>1</v>
      </c>
      <c r="B114" t="s">
        <v>1868</v>
      </c>
      <c r="C114" t="s">
        <v>2025</v>
      </c>
      <c r="D114">
        <v>500065</v>
      </c>
      <c r="E114" t="s">
        <v>675</v>
      </c>
      <c r="F114" t="s">
        <v>676</v>
      </c>
      <c r="G114" s="110">
        <v>8.6480099999999993</v>
      </c>
      <c r="H114" s="110">
        <v>9.1786700000000003</v>
      </c>
      <c r="I114" s="110">
        <v>8.9668299999999999</v>
      </c>
      <c r="J114" s="110">
        <v>5.0903099999999997</v>
      </c>
      <c r="K114" s="110">
        <v>5.3597999999999999</v>
      </c>
      <c r="L114"/>
    </row>
    <row r="115" spans="1:12" x14ac:dyDescent="0.2">
      <c r="A115" s="111">
        <v>1</v>
      </c>
      <c r="B115" t="s">
        <v>1868</v>
      </c>
      <c r="C115" t="s">
        <v>2025</v>
      </c>
      <c r="D115">
        <v>500670</v>
      </c>
      <c r="E115" t="s">
        <v>692</v>
      </c>
      <c r="F115" t="s">
        <v>693</v>
      </c>
      <c r="G115" s="110">
        <v>3.4571999999999998</v>
      </c>
      <c r="H115" s="110">
        <v>3.8502000000000001</v>
      </c>
      <c r="I115" s="110">
        <v>4.0204500000000003</v>
      </c>
      <c r="J115" s="110">
        <v>4.0207499999999996</v>
      </c>
      <c r="K115" s="110">
        <v>3.4575</v>
      </c>
      <c r="L115"/>
    </row>
    <row r="116" spans="1:12" x14ac:dyDescent="0.2">
      <c r="A116" s="111">
        <v>1</v>
      </c>
      <c r="B116" t="s">
        <v>1868</v>
      </c>
      <c r="C116" t="s">
        <v>2025</v>
      </c>
      <c r="D116">
        <v>500869</v>
      </c>
      <c r="E116" t="s">
        <v>698</v>
      </c>
      <c r="F116" t="s">
        <v>699</v>
      </c>
      <c r="G116" s="110">
        <v>4.47525</v>
      </c>
      <c r="H116" s="110">
        <v>61.72325</v>
      </c>
      <c r="I116" s="110">
        <v>2.7959999999999998</v>
      </c>
      <c r="J116" s="110">
        <v>2.774</v>
      </c>
      <c r="K116" s="110">
        <v>2.9952000000000001</v>
      </c>
      <c r="L116"/>
    </row>
    <row r="117" spans="1:12" x14ac:dyDescent="0.2">
      <c r="A117" s="111">
        <v>1</v>
      </c>
      <c r="B117" t="s">
        <v>1868</v>
      </c>
      <c r="C117" t="s">
        <v>2025</v>
      </c>
      <c r="D117">
        <v>500112</v>
      </c>
      <c r="E117" t="s">
        <v>704</v>
      </c>
      <c r="F117" t="s">
        <v>705</v>
      </c>
      <c r="G117" s="110">
        <v>2.8783599999999998</v>
      </c>
      <c r="H117" s="110">
        <v>3.70696</v>
      </c>
      <c r="I117" s="110">
        <v>2.6270799999999999</v>
      </c>
      <c r="J117" s="110">
        <v>2.7120700000000002</v>
      </c>
      <c r="K117" s="110">
        <v>2.7186900000000001</v>
      </c>
      <c r="L117"/>
    </row>
    <row r="118" spans="1:12" x14ac:dyDescent="0.2">
      <c r="A118" s="111">
        <v>1</v>
      </c>
      <c r="B118" t="s">
        <v>1868</v>
      </c>
      <c r="C118" t="s">
        <v>2025</v>
      </c>
      <c r="D118">
        <v>500184</v>
      </c>
      <c r="E118" t="s">
        <v>708</v>
      </c>
      <c r="F118" t="s">
        <v>709</v>
      </c>
      <c r="G118" s="110">
        <v>2.6205799999999999</v>
      </c>
      <c r="H118" s="110">
        <v>2.4599099999999998</v>
      </c>
      <c r="I118" s="110">
        <v>2.3063099999999999</v>
      </c>
      <c r="J118" s="110">
        <v>2.1761499999999998</v>
      </c>
      <c r="K118" s="110">
        <v>2.52495</v>
      </c>
      <c r="L118"/>
    </row>
    <row r="119" spans="1:12" x14ac:dyDescent="0.2">
      <c r="A119" s="111">
        <v>1</v>
      </c>
      <c r="B119" t="s">
        <v>1868</v>
      </c>
      <c r="C119" t="s">
        <v>2025</v>
      </c>
      <c r="D119">
        <v>500069</v>
      </c>
      <c r="E119" t="s">
        <v>712</v>
      </c>
      <c r="F119" t="s">
        <v>713</v>
      </c>
      <c r="G119" s="110">
        <v>3.9007700000000001</v>
      </c>
      <c r="H119" s="110">
        <v>3.9098700000000002</v>
      </c>
      <c r="I119" s="110">
        <v>2.3155999999999999</v>
      </c>
      <c r="J119" s="110">
        <v>2.18153</v>
      </c>
      <c r="K119" s="110">
        <v>2.4471799999999999</v>
      </c>
      <c r="L119"/>
    </row>
    <row r="120" spans="1:12" x14ac:dyDescent="0.2">
      <c r="A120" s="111">
        <v>1</v>
      </c>
      <c r="B120" t="s">
        <v>1868</v>
      </c>
      <c r="C120" t="s">
        <v>2025</v>
      </c>
      <c r="D120">
        <v>500062</v>
      </c>
      <c r="E120" t="s">
        <v>720</v>
      </c>
      <c r="F120" t="s">
        <v>721</v>
      </c>
      <c r="G120" s="110">
        <v>2.0107599999999999</v>
      </c>
      <c r="H120" s="110">
        <v>2.1787700000000001</v>
      </c>
      <c r="I120" s="110">
        <v>2.4102800000000002</v>
      </c>
      <c r="J120" s="110">
        <v>2.0586500000000001</v>
      </c>
      <c r="K120" s="110">
        <v>2.1718199999999999</v>
      </c>
      <c r="L120"/>
    </row>
    <row r="121" spans="1:12" x14ac:dyDescent="0.2">
      <c r="A121" s="111">
        <v>1</v>
      </c>
      <c r="B121" t="s">
        <v>1868</v>
      </c>
      <c r="C121" t="s">
        <v>2025</v>
      </c>
      <c r="D121">
        <v>500908</v>
      </c>
      <c r="E121" t="s">
        <v>726</v>
      </c>
      <c r="F121" t="s">
        <v>727</v>
      </c>
      <c r="G121" s="110">
        <v>2.8559999999999999</v>
      </c>
      <c r="H121" s="110">
        <v>1.788</v>
      </c>
      <c r="I121" s="110">
        <v>1.8959999999999999</v>
      </c>
      <c r="J121" s="110">
        <v>1.998</v>
      </c>
      <c r="K121" s="110">
        <v>2.052</v>
      </c>
      <c r="L121"/>
    </row>
    <row r="122" spans="1:12" x14ac:dyDescent="0.2">
      <c r="A122" s="111">
        <v>1</v>
      </c>
      <c r="B122" t="s">
        <v>1868</v>
      </c>
      <c r="C122" t="s">
        <v>2025</v>
      </c>
      <c r="D122">
        <v>500091</v>
      </c>
      <c r="E122" t="s">
        <v>728</v>
      </c>
      <c r="F122" t="s">
        <v>729</v>
      </c>
      <c r="G122" s="110">
        <v>2.1987000000000001</v>
      </c>
      <c r="H122" s="110">
        <v>2.3086000000000002</v>
      </c>
      <c r="I122" s="110">
        <v>2.0055000000000001</v>
      </c>
      <c r="J122" s="110">
        <v>2.0051299999999999</v>
      </c>
      <c r="K122" s="110">
        <v>1.9227799999999999</v>
      </c>
      <c r="L122"/>
    </row>
    <row r="123" spans="1:12" x14ac:dyDescent="0.2">
      <c r="A123" s="111">
        <v>1</v>
      </c>
      <c r="B123" t="s">
        <v>1868</v>
      </c>
      <c r="C123" t="s">
        <v>2025</v>
      </c>
      <c r="D123">
        <v>500087</v>
      </c>
      <c r="E123" t="s">
        <v>732</v>
      </c>
      <c r="F123" t="s">
        <v>733</v>
      </c>
      <c r="G123" s="110">
        <v>1.4616</v>
      </c>
      <c r="H123" s="110">
        <v>1.4448000000000001</v>
      </c>
      <c r="I123" s="110">
        <v>1.2432000000000001</v>
      </c>
      <c r="J123" s="110">
        <v>1.2897000000000001</v>
      </c>
      <c r="K123" s="110">
        <v>1.8321000000000001</v>
      </c>
      <c r="L123"/>
    </row>
    <row r="124" spans="1:12" x14ac:dyDescent="0.2">
      <c r="A124" s="111">
        <v>1</v>
      </c>
      <c r="B124" t="s">
        <v>1868</v>
      </c>
      <c r="C124" t="s">
        <v>2025</v>
      </c>
      <c r="D124">
        <v>500916</v>
      </c>
      <c r="E124" t="s">
        <v>736</v>
      </c>
      <c r="F124" t="s">
        <v>737</v>
      </c>
      <c r="G124" s="110">
        <v>2.9777</v>
      </c>
      <c r="H124" s="110">
        <v>2.8047</v>
      </c>
      <c r="I124" s="110">
        <v>2.7211400000000001</v>
      </c>
      <c r="J124" s="110">
        <v>1.9128000000000001</v>
      </c>
      <c r="K124" s="110">
        <v>1.8109</v>
      </c>
      <c r="L124"/>
    </row>
    <row r="125" spans="1:12" x14ac:dyDescent="0.2">
      <c r="A125" s="111">
        <v>1</v>
      </c>
      <c r="B125" t="s">
        <v>1868</v>
      </c>
      <c r="C125" t="s">
        <v>2025</v>
      </c>
      <c r="D125">
        <v>500089</v>
      </c>
      <c r="E125" t="s">
        <v>738</v>
      </c>
      <c r="F125" t="s">
        <v>739</v>
      </c>
      <c r="G125" s="110">
        <v>3.3369</v>
      </c>
      <c r="H125" s="110">
        <v>2.17</v>
      </c>
      <c r="I125" s="110">
        <v>1.9698</v>
      </c>
      <c r="J125" s="110">
        <v>1.4507300000000001</v>
      </c>
      <c r="K125" s="110">
        <v>1.70888</v>
      </c>
      <c r="L125"/>
    </row>
    <row r="126" spans="1:12" x14ac:dyDescent="0.2">
      <c r="A126" s="111">
        <v>1</v>
      </c>
      <c r="B126" t="s">
        <v>1868</v>
      </c>
      <c r="C126" t="s">
        <v>2025</v>
      </c>
      <c r="D126">
        <v>500086</v>
      </c>
      <c r="E126" t="s">
        <v>744</v>
      </c>
      <c r="F126" t="s">
        <v>745</v>
      </c>
      <c r="G126" s="110">
        <v>1.9802999999999999</v>
      </c>
      <c r="H126" s="110">
        <v>2.1238000000000001</v>
      </c>
      <c r="I126" s="110">
        <v>1.4342999999999999</v>
      </c>
      <c r="J126" s="110">
        <v>1.48553</v>
      </c>
      <c r="K126" s="110">
        <v>1.60398</v>
      </c>
      <c r="L126"/>
    </row>
    <row r="127" spans="1:12" x14ac:dyDescent="0.2">
      <c r="A127" s="111">
        <v>1</v>
      </c>
      <c r="B127" t="s">
        <v>1868</v>
      </c>
      <c r="C127" t="s">
        <v>2025</v>
      </c>
      <c r="D127">
        <v>500068</v>
      </c>
      <c r="E127" t="s">
        <v>746</v>
      </c>
      <c r="F127" t="s">
        <v>747</v>
      </c>
      <c r="G127" s="110">
        <v>1.3251200000000001</v>
      </c>
      <c r="H127" s="110">
        <v>1.2904599999999999</v>
      </c>
      <c r="I127" s="110">
        <v>1.40595</v>
      </c>
      <c r="J127" s="110">
        <v>1.5159800000000001</v>
      </c>
      <c r="K127" s="110">
        <v>1.57691</v>
      </c>
      <c r="L127"/>
    </row>
    <row r="128" spans="1:12" x14ac:dyDescent="0.2">
      <c r="A128" s="111">
        <v>1</v>
      </c>
      <c r="B128" t="s">
        <v>1868</v>
      </c>
      <c r="C128" t="s">
        <v>2025</v>
      </c>
      <c r="D128">
        <v>500912</v>
      </c>
      <c r="E128" t="s">
        <v>759</v>
      </c>
      <c r="F128" t="s">
        <v>760</v>
      </c>
      <c r="G128" s="110">
        <v>1.956</v>
      </c>
      <c r="H128" s="110">
        <v>0.97199999999999998</v>
      </c>
      <c r="I128" s="110">
        <v>0.99</v>
      </c>
      <c r="J128" s="110">
        <v>1.032</v>
      </c>
      <c r="K128" s="110">
        <v>1.032</v>
      </c>
      <c r="L128"/>
    </row>
    <row r="129" spans="1:12" x14ac:dyDescent="0.2">
      <c r="A129" s="111">
        <v>1</v>
      </c>
      <c r="B129" t="s">
        <v>1868</v>
      </c>
      <c r="C129" t="s">
        <v>2026</v>
      </c>
      <c r="D129">
        <v>500013</v>
      </c>
      <c r="E129" t="s">
        <v>686</v>
      </c>
      <c r="F129" t="s">
        <v>687</v>
      </c>
      <c r="G129" s="110">
        <v>3.3370000000000002</v>
      </c>
      <c r="H129" s="110">
        <v>3.2321300000000002</v>
      </c>
      <c r="I129" s="110">
        <v>3.32281</v>
      </c>
      <c r="J129" s="110">
        <v>3.2433100000000001</v>
      </c>
      <c r="K129" s="110">
        <v>3.6516099999999998</v>
      </c>
      <c r="L129"/>
    </row>
    <row r="130" spans="1:12" x14ac:dyDescent="0.2">
      <c r="A130" s="111">
        <v>2</v>
      </c>
      <c r="B130" t="s">
        <v>1875</v>
      </c>
      <c r="C130" t="s">
        <v>2025</v>
      </c>
      <c r="D130">
        <v>500140</v>
      </c>
      <c r="E130" t="s">
        <v>110</v>
      </c>
      <c r="F130" t="s">
        <v>111</v>
      </c>
      <c r="G130" s="110">
        <v>1273.6698200000001</v>
      </c>
      <c r="H130" s="110">
        <v>1400.2937899999999</v>
      </c>
      <c r="I130" s="110">
        <v>1535.8616999999999</v>
      </c>
      <c r="J130" s="110">
        <v>1665.0400400000001</v>
      </c>
      <c r="K130" s="110">
        <v>1776.35391</v>
      </c>
      <c r="L130"/>
    </row>
    <row r="131" spans="1:12" x14ac:dyDescent="0.2">
      <c r="A131" s="111">
        <v>2</v>
      </c>
      <c r="B131" t="s">
        <v>1875</v>
      </c>
      <c r="C131" t="s">
        <v>2025</v>
      </c>
      <c r="D131">
        <v>500142</v>
      </c>
      <c r="E131" t="s">
        <v>128</v>
      </c>
      <c r="F131" t="s">
        <v>129</v>
      </c>
      <c r="G131" s="110">
        <v>907.97015999999996</v>
      </c>
      <c r="H131" s="110">
        <v>1049.2761</v>
      </c>
      <c r="I131" s="110">
        <v>1182.3648499999999</v>
      </c>
      <c r="J131" s="110">
        <v>1325.1868899999999</v>
      </c>
      <c r="K131" s="110">
        <v>1481.9964500000001</v>
      </c>
      <c r="L131"/>
    </row>
    <row r="132" spans="1:12" x14ac:dyDescent="0.2">
      <c r="A132" s="111">
        <v>2</v>
      </c>
      <c r="B132" t="s">
        <v>1875</v>
      </c>
      <c r="C132" t="s">
        <v>2025</v>
      </c>
      <c r="D132">
        <v>500045</v>
      </c>
      <c r="E132" t="s">
        <v>136</v>
      </c>
      <c r="F132" t="s">
        <v>137</v>
      </c>
      <c r="G132" s="110">
        <v>1147.93551</v>
      </c>
      <c r="H132" s="110">
        <v>1140.7238</v>
      </c>
      <c r="I132" s="110">
        <v>1199.57203</v>
      </c>
      <c r="J132" s="110">
        <v>1288.1352199999999</v>
      </c>
      <c r="K132" s="110">
        <v>1302.62754</v>
      </c>
      <c r="L132"/>
    </row>
    <row r="133" spans="1:12" x14ac:dyDescent="0.2">
      <c r="A133" s="111">
        <v>2</v>
      </c>
      <c r="B133" t="s">
        <v>1875</v>
      </c>
      <c r="C133" t="s">
        <v>2025</v>
      </c>
      <c r="D133">
        <v>500119</v>
      </c>
      <c r="E133" t="s">
        <v>197</v>
      </c>
      <c r="F133" t="s">
        <v>198</v>
      </c>
      <c r="G133" s="110">
        <v>460.5104</v>
      </c>
      <c r="H133" s="110">
        <v>506.79293000000001</v>
      </c>
      <c r="I133" s="110">
        <v>546.18481999999995</v>
      </c>
      <c r="J133" s="110">
        <v>588.31412</v>
      </c>
      <c r="K133" s="110">
        <v>587.87026000000003</v>
      </c>
      <c r="L133"/>
    </row>
    <row r="134" spans="1:12" x14ac:dyDescent="0.2">
      <c r="A134" s="111">
        <v>2</v>
      </c>
      <c r="B134" t="s">
        <v>1875</v>
      </c>
      <c r="C134" t="s">
        <v>2025</v>
      </c>
      <c r="D134">
        <v>500170</v>
      </c>
      <c r="E134" t="s">
        <v>217</v>
      </c>
      <c r="F134" t="s">
        <v>218</v>
      </c>
      <c r="G134" s="110">
        <v>492.38249000000002</v>
      </c>
      <c r="H134" s="110">
        <v>511.55563999999998</v>
      </c>
      <c r="I134" s="110">
        <v>513.31560000000002</v>
      </c>
      <c r="J134" s="110">
        <v>518.60491000000002</v>
      </c>
      <c r="K134" s="110">
        <v>508.60628000000003</v>
      </c>
      <c r="L134"/>
    </row>
    <row r="135" spans="1:12" x14ac:dyDescent="0.2">
      <c r="A135" s="111">
        <v>2</v>
      </c>
      <c r="B135" t="s">
        <v>1875</v>
      </c>
      <c r="C135" t="s">
        <v>2025</v>
      </c>
      <c r="D135">
        <v>501062</v>
      </c>
      <c r="E135" t="s">
        <v>239</v>
      </c>
      <c r="F135" t="s">
        <v>240</v>
      </c>
      <c r="G135" s="110">
        <v>126.52598999999999</v>
      </c>
      <c r="H135" s="110">
        <v>224.91177999999999</v>
      </c>
      <c r="I135" s="110">
        <v>266.54259000000002</v>
      </c>
      <c r="J135" s="110">
        <v>374.52850999999998</v>
      </c>
      <c r="K135" s="110">
        <v>409.38778000000002</v>
      </c>
    </row>
    <row r="136" spans="1:12" x14ac:dyDescent="0.2">
      <c r="A136" s="111">
        <v>2</v>
      </c>
      <c r="B136" t="s">
        <v>1875</v>
      </c>
      <c r="C136" t="s">
        <v>2025</v>
      </c>
      <c r="D136">
        <v>501230</v>
      </c>
      <c r="E136" t="s">
        <v>285</v>
      </c>
      <c r="F136" t="s">
        <v>286</v>
      </c>
      <c r="G136" s="110">
        <v>0</v>
      </c>
      <c r="H136" s="110">
        <v>0</v>
      </c>
      <c r="I136" s="110">
        <v>0</v>
      </c>
      <c r="J136" s="110">
        <v>0</v>
      </c>
      <c r="K136" s="110">
        <v>295.00166000000002</v>
      </c>
    </row>
    <row r="137" spans="1:12" x14ac:dyDescent="0.2">
      <c r="A137" s="111">
        <v>2</v>
      </c>
      <c r="B137" t="s">
        <v>1875</v>
      </c>
      <c r="C137" t="s">
        <v>2025</v>
      </c>
      <c r="D137">
        <v>501038</v>
      </c>
      <c r="E137" t="s">
        <v>315</v>
      </c>
      <c r="F137" t="s">
        <v>316</v>
      </c>
      <c r="G137" s="110">
        <v>46.063760000000002</v>
      </c>
      <c r="H137" s="110">
        <v>90.452330000000003</v>
      </c>
      <c r="I137" s="110">
        <v>135.23088000000001</v>
      </c>
      <c r="J137" s="110">
        <v>182.45760000000001</v>
      </c>
      <c r="K137" s="110">
        <v>211.33234999999999</v>
      </c>
    </row>
    <row r="138" spans="1:12" x14ac:dyDescent="0.2">
      <c r="A138" s="111">
        <v>2</v>
      </c>
      <c r="B138" t="s">
        <v>1875</v>
      </c>
      <c r="C138" t="s">
        <v>2025</v>
      </c>
      <c r="D138">
        <v>500999</v>
      </c>
      <c r="E138" t="s">
        <v>319</v>
      </c>
      <c r="F138" t="s">
        <v>320</v>
      </c>
      <c r="G138" s="110">
        <v>113.74720000000001</v>
      </c>
      <c r="H138" s="110">
        <v>167.51315</v>
      </c>
      <c r="I138" s="110">
        <v>198.47927000000001</v>
      </c>
      <c r="J138" s="110">
        <v>197.06075000000001</v>
      </c>
      <c r="K138" s="110">
        <v>210.81682000000001</v>
      </c>
    </row>
    <row r="139" spans="1:12" x14ac:dyDescent="0.2">
      <c r="A139" s="111">
        <v>2</v>
      </c>
      <c r="B139" t="s">
        <v>1875</v>
      </c>
      <c r="C139" t="s">
        <v>2025</v>
      </c>
      <c r="D139">
        <v>500815</v>
      </c>
      <c r="E139" t="s">
        <v>327</v>
      </c>
      <c r="F139" t="s">
        <v>328</v>
      </c>
      <c r="G139" s="110">
        <v>390.70371999999998</v>
      </c>
      <c r="H139" s="110">
        <v>428.884019999999</v>
      </c>
      <c r="I139" s="110">
        <v>439.34519</v>
      </c>
      <c r="J139" s="110">
        <v>442.13024999999999</v>
      </c>
      <c r="K139" s="110">
        <v>189.33311</v>
      </c>
    </row>
    <row r="140" spans="1:12" x14ac:dyDescent="0.2">
      <c r="A140" s="111">
        <v>2</v>
      </c>
      <c r="B140" t="s">
        <v>1875</v>
      </c>
      <c r="C140" t="s">
        <v>2025</v>
      </c>
      <c r="D140">
        <v>500874</v>
      </c>
      <c r="E140" t="s">
        <v>331</v>
      </c>
      <c r="F140" t="s">
        <v>332</v>
      </c>
      <c r="G140" s="110">
        <v>64.63109</v>
      </c>
      <c r="H140" s="110">
        <v>93.180179999999993</v>
      </c>
      <c r="I140" s="110">
        <v>118.55674999999999</v>
      </c>
      <c r="J140" s="110">
        <v>138.8441</v>
      </c>
      <c r="K140" s="110">
        <v>182.88140000000001</v>
      </c>
    </row>
    <row r="141" spans="1:12" x14ac:dyDescent="0.2">
      <c r="A141" s="111">
        <v>2</v>
      </c>
      <c r="B141" t="s">
        <v>1875</v>
      </c>
      <c r="C141" t="s">
        <v>2025</v>
      </c>
      <c r="D141">
        <v>500960</v>
      </c>
      <c r="E141" t="s">
        <v>440</v>
      </c>
      <c r="F141" t="s">
        <v>441</v>
      </c>
      <c r="G141" s="110">
        <v>61.177509999999998</v>
      </c>
      <c r="H141" s="110">
        <v>70.620980000000003</v>
      </c>
      <c r="I141" s="110">
        <v>71.729860000000002</v>
      </c>
      <c r="J141" s="110">
        <v>74.719179999999994</v>
      </c>
      <c r="K141" s="110">
        <v>78.248350000000002</v>
      </c>
    </row>
    <row r="142" spans="1:12" x14ac:dyDescent="0.2">
      <c r="A142" s="111">
        <v>2</v>
      </c>
      <c r="B142" t="s">
        <v>1875</v>
      </c>
      <c r="C142" t="s">
        <v>2025</v>
      </c>
      <c r="D142">
        <v>500726</v>
      </c>
      <c r="E142" t="s">
        <v>464</v>
      </c>
      <c r="F142" t="s">
        <v>465</v>
      </c>
      <c r="G142" s="110">
        <v>58.914619999999999</v>
      </c>
      <c r="H142" s="110">
        <v>51.297789999999999</v>
      </c>
      <c r="I142" s="110">
        <v>56.334679999999999</v>
      </c>
      <c r="J142" s="110">
        <v>67.664469999999994</v>
      </c>
      <c r="K142" s="110">
        <v>63.533470000000001</v>
      </c>
    </row>
    <row r="143" spans="1:12" x14ac:dyDescent="0.2">
      <c r="A143" s="111">
        <v>2</v>
      </c>
      <c r="B143" t="s">
        <v>1875</v>
      </c>
      <c r="C143" t="s">
        <v>2025</v>
      </c>
      <c r="D143">
        <v>500228</v>
      </c>
      <c r="E143" t="s">
        <v>484</v>
      </c>
      <c r="F143" t="s">
        <v>485</v>
      </c>
      <c r="G143" s="110">
        <v>12.52943</v>
      </c>
      <c r="H143" s="110">
        <v>24.18852</v>
      </c>
      <c r="I143" s="110">
        <v>34.210920000000002</v>
      </c>
      <c r="J143" s="110">
        <v>39.469320000000003</v>
      </c>
      <c r="K143" s="110">
        <v>49.767940000000003</v>
      </c>
    </row>
    <row r="144" spans="1:12" x14ac:dyDescent="0.2">
      <c r="A144" s="111">
        <v>2</v>
      </c>
      <c r="B144" t="s">
        <v>1875</v>
      </c>
      <c r="C144" t="s">
        <v>2025</v>
      </c>
      <c r="D144">
        <v>500853</v>
      </c>
      <c r="E144" t="s">
        <v>506</v>
      </c>
      <c r="F144" t="s">
        <v>507</v>
      </c>
      <c r="G144" s="110">
        <v>32.915199999999999</v>
      </c>
      <c r="H144" s="110">
        <v>36.145800000000001</v>
      </c>
      <c r="I144" s="110">
        <v>35.880549999999999</v>
      </c>
      <c r="J144" s="110">
        <v>36.516150000000003</v>
      </c>
      <c r="K144" s="110">
        <v>39.258600000000001</v>
      </c>
    </row>
    <row r="145" spans="1:11" x14ac:dyDescent="0.2">
      <c r="A145" s="111">
        <v>2</v>
      </c>
      <c r="B145" t="s">
        <v>1875</v>
      </c>
      <c r="C145" t="s">
        <v>2025</v>
      </c>
      <c r="D145">
        <v>500974</v>
      </c>
      <c r="E145" t="s">
        <v>520</v>
      </c>
      <c r="F145" t="s">
        <v>521</v>
      </c>
      <c r="G145" s="110">
        <v>29.18487</v>
      </c>
      <c r="H145" s="110">
        <v>27.74859</v>
      </c>
      <c r="I145" s="110">
        <v>31.173870000000001</v>
      </c>
      <c r="J145" s="110">
        <v>32.340049999999998</v>
      </c>
      <c r="K145" s="110">
        <v>34.094700000000003</v>
      </c>
    </row>
    <row r="146" spans="1:11" x14ac:dyDescent="0.2">
      <c r="A146" s="111">
        <v>2</v>
      </c>
      <c r="B146" t="s">
        <v>1875</v>
      </c>
      <c r="C146" t="s">
        <v>2025</v>
      </c>
      <c r="D146">
        <v>500658</v>
      </c>
      <c r="E146" t="s">
        <v>550</v>
      </c>
      <c r="F146" t="s">
        <v>551</v>
      </c>
      <c r="G146" s="110">
        <v>20.355</v>
      </c>
      <c r="H146" s="110">
        <v>22.192699999999999</v>
      </c>
      <c r="I146" s="110">
        <v>22.05585</v>
      </c>
      <c r="J146" s="110">
        <v>22.307749999999999</v>
      </c>
      <c r="K146" s="110">
        <v>23.041650000000001</v>
      </c>
    </row>
    <row r="147" spans="1:11" x14ac:dyDescent="0.2">
      <c r="A147" s="111">
        <v>2</v>
      </c>
      <c r="B147" t="s">
        <v>1875</v>
      </c>
      <c r="C147" t="s">
        <v>2025</v>
      </c>
      <c r="D147">
        <v>500722</v>
      </c>
      <c r="E147" t="s">
        <v>558</v>
      </c>
      <c r="F147" t="s">
        <v>559</v>
      </c>
      <c r="G147" s="110">
        <v>30.889800000000001</v>
      </c>
      <c r="H147" s="110">
        <v>13.188409999999999</v>
      </c>
      <c r="I147" s="110">
        <v>13.708600000000001</v>
      </c>
      <c r="J147" s="110">
        <v>19.685759999999998</v>
      </c>
      <c r="K147" s="110">
        <v>22.002600000000001</v>
      </c>
    </row>
    <row r="148" spans="1:11" x14ac:dyDescent="0.2">
      <c r="A148" s="111">
        <v>2</v>
      </c>
      <c r="B148" t="s">
        <v>1875</v>
      </c>
      <c r="C148" t="s">
        <v>2025</v>
      </c>
      <c r="D148">
        <v>501067</v>
      </c>
      <c r="E148" t="s">
        <v>562</v>
      </c>
      <c r="F148" t="s">
        <v>563</v>
      </c>
      <c r="G148" s="110">
        <v>10.205399999999999</v>
      </c>
      <c r="H148" s="110">
        <v>12.660600000000001</v>
      </c>
      <c r="I148" s="110">
        <v>14.5464</v>
      </c>
      <c r="J148" s="110">
        <v>17.420210000000001</v>
      </c>
      <c r="K148" s="110">
        <v>20.391960000000001</v>
      </c>
    </row>
    <row r="149" spans="1:11" x14ac:dyDescent="0.2">
      <c r="A149" s="111">
        <v>2</v>
      </c>
      <c r="B149" t="s">
        <v>1875</v>
      </c>
      <c r="C149" t="s">
        <v>2025</v>
      </c>
      <c r="D149">
        <v>501066</v>
      </c>
      <c r="E149" t="s">
        <v>596</v>
      </c>
      <c r="F149" t="s">
        <v>597</v>
      </c>
      <c r="G149" s="110">
        <v>5.9872100000000001</v>
      </c>
      <c r="H149" s="110">
        <v>7.9668000000000001</v>
      </c>
      <c r="I149" s="110">
        <v>9.1324000000000005</v>
      </c>
      <c r="J149" s="110">
        <v>11.17576</v>
      </c>
      <c r="K149" s="110">
        <v>12.55354</v>
      </c>
    </row>
    <row r="150" spans="1:11" x14ac:dyDescent="0.2">
      <c r="A150" s="111">
        <v>2</v>
      </c>
      <c r="B150" t="s">
        <v>1875</v>
      </c>
      <c r="C150" t="s">
        <v>2025</v>
      </c>
      <c r="D150">
        <v>501068</v>
      </c>
      <c r="E150" t="s">
        <v>614</v>
      </c>
      <c r="F150" t="s">
        <v>615</v>
      </c>
      <c r="G150" s="110">
        <v>3.3421500000000002</v>
      </c>
      <c r="H150" s="110">
        <v>4.5513899999999996</v>
      </c>
      <c r="I150" s="110">
        <v>5.8665200000000004</v>
      </c>
      <c r="J150" s="110">
        <v>6.9064300000000003</v>
      </c>
      <c r="K150" s="110">
        <v>9.1155600000000003</v>
      </c>
    </row>
    <row r="151" spans="1:11" x14ac:dyDescent="0.2">
      <c r="A151" s="111">
        <v>2</v>
      </c>
      <c r="B151" t="s">
        <v>1875</v>
      </c>
      <c r="C151" t="s">
        <v>2025</v>
      </c>
      <c r="D151">
        <v>501064</v>
      </c>
      <c r="E151" t="s">
        <v>647</v>
      </c>
      <c r="F151" t="s">
        <v>648</v>
      </c>
      <c r="G151" s="110">
        <v>4.8464999999999998</v>
      </c>
      <c r="H151" s="110">
        <v>6.1707000000000001</v>
      </c>
      <c r="I151" s="110">
        <v>6.3857999999999997</v>
      </c>
      <c r="J151" s="110">
        <v>6.57796</v>
      </c>
      <c r="K151" s="110">
        <v>6.7268100000000004</v>
      </c>
    </row>
    <row r="152" spans="1:11" x14ac:dyDescent="0.2">
      <c r="A152" s="111">
        <v>2</v>
      </c>
      <c r="B152" t="s">
        <v>1875</v>
      </c>
      <c r="C152" t="s">
        <v>2025</v>
      </c>
      <c r="D152">
        <v>501005</v>
      </c>
      <c r="E152" t="s">
        <v>677</v>
      </c>
      <c r="F152" t="s">
        <v>678</v>
      </c>
      <c r="G152" s="110">
        <v>5.9793700000000003</v>
      </c>
      <c r="H152" s="110">
        <v>5.6073700000000004</v>
      </c>
      <c r="I152" s="110">
        <v>6.0356199999999998</v>
      </c>
      <c r="J152" s="110">
        <v>6.1199000000000003</v>
      </c>
      <c r="K152" s="110">
        <v>5.2900999999999998</v>
      </c>
    </row>
    <row r="153" spans="1:11" x14ac:dyDescent="0.2">
      <c r="A153" s="111">
        <v>2</v>
      </c>
      <c r="B153" t="s">
        <v>1875</v>
      </c>
      <c r="C153" t="s">
        <v>2025</v>
      </c>
      <c r="D153">
        <v>501069</v>
      </c>
      <c r="E153" t="s">
        <v>682</v>
      </c>
      <c r="F153" t="s">
        <v>683</v>
      </c>
      <c r="G153" s="110">
        <v>2.5311599999999999</v>
      </c>
      <c r="H153" s="110">
        <v>2.9519799999999998</v>
      </c>
      <c r="I153" s="110">
        <v>3.0689799999999998</v>
      </c>
      <c r="J153" s="110">
        <v>4.3766800000000003</v>
      </c>
      <c r="K153" s="110">
        <v>4.6737799999999998</v>
      </c>
    </row>
    <row r="154" spans="1:11" x14ac:dyDescent="0.2">
      <c r="A154" s="111">
        <v>2</v>
      </c>
      <c r="B154" t="s">
        <v>1875</v>
      </c>
      <c r="C154" t="s">
        <v>2025</v>
      </c>
      <c r="D154">
        <v>500727</v>
      </c>
      <c r="E154" t="s">
        <v>696</v>
      </c>
      <c r="F154" t="s">
        <v>697</v>
      </c>
      <c r="G154" s="110">
        <v>7.9962600000000004</v>
      </c>
      <c r="H154" s="110">
        <v>2.7084700000000002</v>
      </c>
      <c r="I154" s="110">
        <v>2.2869000000000002</v>
      </c>
      <c r="J154" s="110">
        <v>3.2319</v>
      </c>
      <c r="K154" s="110">
        <v>3.2079</v>
      </c>
    </row>
    <row r="155" spans="1:11" x14ac:dyDescent="0.2">
      <c r="A155" s="111">
        <v>2</v>
      </c>
      <c r="B155" t="s">
        <v>1875</v>
      </c>
      <c r="C155" t="s">
        <v>2025</v>
      </c>
      <c r="D155">
        <v>500724</v>
      </c>
      <c r="E155" t="s">
        <v>702</v>
      </c>
      <c r="F155" t="s">
        <v>703</v>
      </c>
      <c r="G155" s="110">
        <v>6.7034799999999999</v>
      </c>
      <c r="H155" s="110">
        <v>2.4417499999999999</v>
      </c>
      <c r="I155" s="110">
        <v>2.0682</v>
      </c>
      <c r="J155" s="110">
        <v>2.9862000000000002</v>
      </c>
      <c r="K155" s="110">
        <v>2.8361999999999998</v>
      </c>
    </row>
    <row r="156" spans="1:11" x14ac:dyDescent="0.2">
      <c r="A156" s="111">
        <v>2</v>
      </c>
      <c r="B156" t="s">
        <v>1875</v>
      </c>
      <c r="C156" t="s">
        <v>2025</v>
      </c>
      <c r="D156">
        <v>500911</v>
      </c>
      <c r="E156" t="s">
        <v>714</v>
      </c>
      <c r="F156" t="s">
        <v>715</v>
      </c>
      <c r="G156" s="110">
        <v>0.6048</v>
      </c>
      <c r="H156" s="110">
        <v>1.2483</v>
      </c>
      <c r="I156" s="110">
        <v>1.1712</v>
      </c>
      <c r="J156" s="110">
        <v>1.3295999999999999</v>
      </c>
      <c r="K156" s="110">
        <v>2.2679999999999998</v>
      </c>
    </row>
    <row r="157" spans="1:11" x14ac:dyDescent="0.2">
      <c r="A157" s="111">
        <v>2</v>
      </c>
      <c r="B157" t="s">
        <v>1875</v>
      </c>
      <c r="C157" t="s">
        <v>2025</v>
      </c>
      <c r="D157">
        <v>501065</v>
      </c>
      <c r="E157" t="s">
        <v>734</v>
      </c>
      <c r="F157" t="s">
        <v>735</v>
      </c>
      <c r="G157" s="110">
        <v>1.728</v>
      </c>
      <c r="H157" s="110">
        <v>1.8552</v>
      </c>
      <c r="I157" s="110">
        <v>1.6823999999999999</v>
      </c>
      <c r="J157" s="110">
        <v>2.0499800000000001</v>
      </c>
      <c r="K157" s="110">
        <v>1.82168</v>
      </c>
    </row>
    <row r="158" spans="1:11" x14ac:dyDescent="0.2">
      <c r="A158" s="111">
        <v>2</v>
      </c>
      <c r="B158" t="s">
        <v>1875</v>
      </c>
      <c r="C158" t="s">
        <v>2026</v>
      </c>
      <c r="D158">
        <v>500748</v>
      </c>
      <c r="E158" t="s">
        <v>78</v>
      </c>
      <c r="F158" t="s">
        <v>79</v>
      </c>
      <c r="G158" s="110">
        <v>6747.1056900000003</v>
      </c>
      <c r="H158" s="110">
        <v>7713.8419800000001</v>
      </c>
      <c r="I158" s="110">
        <v>8681.8567700000003</v>
      </c>
      <c r="J158" s="110">
        <v>9705.5930499999995</v>
      </c>
      <c r="K158" s="110">
        <v>10904.30171</v>
      </c>
    </row>
    <row r="159" spans="1:11" x14ac:dyDescent="0.2">
      <c r="A159" s="111">
        <v>2</v>
      </c>
      <c r="B159" t="s">
        <v>1875</v>
      </c>
      <c r="C159" t="s">
        <v>2026</v>
      </c>
      <c r="D159">
        <v>500630</v>
      </c>
      <c r="E159" t="s">
        <v>98</v>
      </c>
      <c r="F159" t="s">
        <v>99</v>
      </c>
      <c r="G159" s="110">
        <v>1809.9346800000001</v>
      </c>
      <c r="H159" s="110">
        <v>1988.90392</v>
      </c>
      <c r="I159" s="110">
        <v>2238.5555800000002</v>
      </c>
      <c r="J159" s="110">
        <v>2455.9953099999998</v>
      </c>
      <c r="K159" s="110">
        <v>2568.9169700000002</v>
      </c>
    </row>
    <row r="160" spans="1:11" x14ac:dyDescent="0.2">
      <c r="A160" s="111">
        <v>2</v>
      </c>
      <c r="B160" t="s">
        <v>1875</v>
      </c>
      <c r="C160" t="s">
        <v>2026</v>
      </c>
      <c r="D160">
        <v>500725</v>
      </c>
      <c r="E160" t="s">
        <v>474</v>
      </c>
      <c r="F160" t="s">
        <v>475</v>
      </c>
      <c r="G160" s="110">
        <v>72.372550000000004</v>
      </c>
      <c r="H160" s="110">
        <v>61.769240000000003</v>
      </c>
      <c r="I160" s="110">
        <v>62.505980000000001</v>
      </c>
      <c r="J160" s="110">
        <v>56.339060000000003</v>
      </c>
      <c r="K160" s="110">
        <v>56.966059999999999</v>
      </c>
    </row>
    <row r="161" spans="1:11" x14ac:dyDescent="0.2">
      <c r="A161" s="111">
        <v>3</v>
      </c>
      <c r="B161" t="s">
        <v>1880</v>
      </c>
      <c r="C161" t="s">
        <v>2025</v>
      </c>
      <c r="D161">
        <v>500093</v>
      </c>
      <c r="E161" t="s">
        <v>92</v>
      </c>
      <c r="F161" t="s">
        <v>93</v>
      </c>
      <c r="G161" s="110">
        <v>2220.4212600000001</v>
      </c>
      <c r="H161" s="110">
        <v>2564.0224699999999</v>
      </c>
      <c r="I161" s="110">
        <v>2947.0688599999999</v>
      </c>
      <c r="J161" s="110">
        <v>3285.5679300000002</v>
      </c>
      <c r="K161" s="110">
        <v>3576.7048300000001</v>
      </c>
    </row>
    <row r="162" spans="1:11" x14ac:dyDescent="0.2">
      <c r="A162" s="111">
        <v>3</v>
      </c>
      <c r="B162" t="s">
        <v>1880</v>
      </c>
      <c r="C162" t="s">
        <v>2025</v>
      </c>
      <c r="D162">
        <v>500003</v>
      </c>
      <c r="E162" t="s">
        <v>106</v>
      </c>
      <c r="F162" t="s">
        <v>107</v>
      </c>
      <c r="G162" s="110">
        <v>1581.61313</v>
      </c>
      <c r="H162" s="110">
        <v>1686.2672500000001</v>
      </c>
      <c r="I162" s="110">
        <v>1771.06477</v>
      </c>
      <c r="J162" s="110">
        <v>1940.1837499999999</v>
      </c>
      <c r="K162" s="110">
        <v>2112.77025</v>
      </c>
    </row>
    <row r="163" spans="1:11" x14ac:dyDescent="0.2">
      <c r="A163" s="111">
        <v>3</v>
      </c>
      <c r="B163" t="s">
        <v>1880</v>
      </c>
      <c r="C163" t="s">
        <v>2025</v>
      </c>
      <c r="D163">
        <v>500150</v>
      </c>
      <c r="E163" t="s">
        <v>167</v>
      </c>
      <c r="F163" t="s">
        <v>168</v>
      </c>
      <c r="G163" s="110">
        <v>528.64733999999999</v>
      </c>
      <c r="H163" s="110">
        <v>553.85895000000005</v>
      </c>
      <c r="I163" s="110">
        <v>635.23182999999995</v>
      </c>
      <c r="J163" s="110">
        <v>701.14290000000005</v>
      </c>
      <c r="K163" s="110">
        <v>761.53234999999995</v>
      </c>
    </row>
    <row r="164" spans="1:11" x14ac:dyDescent="0.2">
      <c r="A164" s="111">
        <v>3</v>
      </c>
      <c r="B164" t="s">
        <v>1880</v>
      </c>
      <c r="C164" t="s">
        <v>2025</v>
      </c>
      <c r="D164">
        <v>500673</v>
      </c>
      <c r="E164" t="s">
        <v>289</v>
      </c>
      <c r="F164" t="s">
        <v>290</v>
      </c>
      <c r="G164" s="110">
        <v>192.91121999999999</v>
      </c>
      <c r="H164" s="110">
        <v>211.11599000000001</v>
      </c>
      <c r="I164" s="110">
        <v>231.80848</v>
      </c>
      <c r="J164" s="110">
        <v>263.36151000000001</v>
      </c>
      <c r="K164" s="110">
        <v>280.68592000000001</v>
      </c>
    </row>
    <row r="165" spans="1:11" x14ac:dyDescent="0.2">
      <c r="A165" s="111">
        <v>3</v>
      </c>
      <c r="B165" t="s">
        <v>1880</v>
      </c>
      <c r="C165" t="s">
        <v>2025</v>
      </c>
      <c r="D165">
        <v>500846</v>
      </c>
      <c r="E165" t="s">
        <v>301</v>
      </c>
      <c r="F165" t="s">
        <v>302</v>
      </c>
      <c r="G165" s="110">
        <v>138.92457999999999</v>
      </c>
      <c r="H165" s="110">
        <v>163.80597</v>
      </c>
      <c r="I165" s="110">
        <v>198.42133000000001</v>
      </c>
      <c r="J165" s="110">
        <v>215.64026999999999</v>
      </c>
      <c r="K165" s="110">
        <v>232.98257000000001</v>
      </c>
    </row>
    <row r="166" spans="1:11" x14ac:dyDescent="0.2">
      <c r="A166" s="111">
        <v>3</v>
      </c>
      <c r="B166" t="s">
        <v>1880</v>
      </c>
      <c r="C166" t="s">
        <v>2025</v>
      </c>
      <c r="D166">
        <v>501063</v>
      </c>
      <c r="E166" t="s">
        <v>428</v>
      </c>
      <c r="F166" t="s">
        <v>429</v>
      </c>
      <c r="G166" s="110">
        <v>34.997140000000002</v>
      </c>
      <c r="H166" s="110">
        <v>45.014800000000001</v>
      </c>
      <c r="I166" s="110">
        <v>56.163910000000001</v>
      </c>
      <c r="J166" s="110">
        <v>70.120720000000006</v>
      </c>
      <c r="K166" s="110">
        <v>83.486329999999995</v>
      </c>
    </row>
    <row r="167" spans="1:11" x14ac:dyDescent="0.2">
      <c r="A167" s="111">
        <v>3</v>
      </c>
      <c r="B167" t="s">
        <v>1880</v>
      </c>
      <c r="C167" t="s">
        <v>2025</v>
      </c>
      <c r="D167">
        <v>501236</v>
      </c>
      <c r="E167" t="s">
        <v>442</v>
      </c>
      <c r="F167" t="s">
        <v>443</v>
      </c>
      <c r="G167" s="110">
        <v>0</v>
      </c>
      <c r="H167" s="110">
        <v>0</v>
      </c>
      <c r="I167" s="110">
        <v>0</v>
      </c>
      <c r="J167" s="110">
        <v>0</v>
      </c>
      <c r="K167" s="110">
        <v>76.586460000000002</v>
      </c>
    </row>
    <row r="168" spans="1:11" x14ac:dyDescent="0.2">
      <c r="A168" s="111">
        <v>3</v>
      </c>
      <c r="B168" t="s">
        <v>1880</v>
      </c>
      <c r="C168" t="s">
        <v>2025</v>
      </c>
      <c r="D168">
        <v>500672</v>
      </c>
      <c r="E168" t="s">
        <v>448</v>
      </c>
      <c r="F168" t="s">
        <v>449</v>
      </c>
      <c r="G168" s="110">
        <v>48.655259999999998</v>
      </c>
      <c r="H168" s="110">
        <v>59.130249999999997</v>
      </c>
      <c r="I168" s="110">
        <v>69.943610000000007</v>
      </c>
      <c r="J168" s="110">
        <v>72.312489999999997</v>
      </c>
      <c r="K168" s="110">
        <v>72.624440000000007</v>
      </c>
    </row>
    <row r="169" spans="1:11" x14ac:dyDescent="0.2">
      <c r="A169" s="111">
        <v>3</v>
      </c>
      <c r="B169" t="s">
        <v>1880</v>
      </c>
      <c r="C169" t="s">
        <v>2025</v>
      </c>
      <c r="D169">
        <v>500005</v>
      </c>
      <c r="E169" t="s">
        <v>530</v>
      </c>
      <c r="F169" t="s">
        <v>531</v>
      </c>
      <c r="G169" s="110">
        <v>17.604209999999998</v>
      </c>
      <c r="H169" s="110">
        <v>17.924410000000002</v>
      </c>
      <c r="I169" s="110">
        <v>23.110659999999999</v>
      </c>
      <c r="J169" s="110">
        <v>28.567550000000001</v>
      </c>
      <c r="K169" s="110">
        <v>31.033529999999999</v>
      </c>
    </row>
    <row r="170" spans="1:11" x14ac:dyDescent="0.2">
      <c r="A170" s="111">
        <v>3</v>
      </c>
      <c r="B170" t="s">
        <v>1880</v>
      </c>
      <c r="C170" t="s">
        <v>2025</v>
      </c>
      <c r="D170">
        <v>500071</v>
      </c>
      <c r="E170" t="s">
        <v>534</v>
      </c>
      <c r="F170" t="s">
        <v>535</v>
      </c>
      <c r="G170" s="110">
        <v>91.903019999999998</v>
      </c>
      <c r="H170" s="110">
        <v>92.09393</v>
      </c>
      <c r="I170" s="110">
        <v>89.739599999999996</v>
      </c>
      <c r="J170" s="110">
        <v>89.01773</v>
      </c>
      <c r="K170" s="110">
        <v>29.246770000000001</v>
      </c>
    </row>
    <row r="171" spans="1:11" x14ac:dyDescent="0.2">
      <c r="A171" s="111">
        <v>3</v>
      </c>
      <c r="B171" t="s">
        <v>1880</v>
      </c>
      <c r="C171" t="s">
        <v>2025</v>
      </c>
      <c r="D171">
        <v>500301</v>
      </c>
      <c r="E171" t="s">
        <v>568</v>
      </c>
      <c r="F171" t="s">
        <v>569</v>
      </c>
      <c r="G171" s="110">
        <v>22.480499999999999</v>
      </c>
      <c r="H171" s="110">
        <v>21.365449999999999</v>
      </c>
      <c r="I171" s="110">
        <v>20.650300000000001</v>
      </c>
      <c r="J171" s="110">
        <v>19.71256</v>
      </c>
      <c r="K171" s="110">
        <v>20.030950000000001</v>
      </c>
    </row>
    <row r="172" spans="1:11" x14ac:dyDescent="0.2">
      <c r="A172" s="111">
        <v>3</v>
      </c>
      <c r="B172" t="s">
        <v>1880</v>
      </c>
      <c r="C172" t="s">
        <v>2025</v>
      </c>
      <c r="D172">
        <v>500729</v>
      </c>
      <c r="E172" t="s">
        <v>586</v>
      </c>
      <c r="F172" t="s">
        <v>587</v>
      </c>
      <c r="G172" s="110">
        <v>9.2927999999999997</v>
      </c>
      <c r="H172" s="110">
        <v>9.7937999999999992</v>
      </c>
      <c r="I172" s="110">
        <v>9.7814300000000003</v>
      </c>
      <c r="J172" s="110">
        <v>8.7953299999999999</v>
      </c>
      <c r="K172" s="110">
        <v>15.66878</v>
      </c>
    </row>
    <row r="173" spans="1:11" x14ac:dyDescent="0.2">
      <c r="A173" s="111">
        <v>3</v>
      </c>
      <c r="B173" t="s">
        <v>1880</v>
      </c>
      <c r="C173" t="s">
        <v>2025</v>
      </c>
      <c r="D173">
        <v>500041</v>
      </c>
      <c r="E173" t="s">
        <v>608</v>
      </c>
      <c r="F173" t="s">
        <v>609</v>
      </c>
      <c r="G173" s="110">
        <v>10.231019999999999</v>
      </c>
      <c r="H173" s="110">
        <v>11.347200000000001</v>
      </c>
      <c r="I173" s="110">
        <v>10.01784</v>
      </c>
      <c r="J173" s="110">
        <v>10.51478</v>
      </c>
      <c r="K173" s="110">
        <v>9.7677600000000009</v>
      </c>
    </row>
    <row r="174" spans="1:11" x14ac:dyDescent="0.2">
      <c r="A174" s="111">
        <v>3</v>
      </c>
      <c r="B174" t="s">
        <v>1880</v>
      </c>
      <c r="C174" t="s">
        <v>2025</v>
      </c>
      <c r="D174">
        <v>500202</v>
      </c>
      <c r="E174" t="s">
        <v>671</v>
      </c>
      <c r="F174" t="s">
        <v>672</v>
      </c>
      <c r="G174" s="110">
        <v>5.7480000000000002</v>
      </c>
      <c r="H174" s="110">
        <v>5.4</v>
      </c>
      <c r="I174" s="110">
        <v>5.2320000000000002</v>
      </c>
      <c r="J174" s="110">
        <v>5.4245000000000001</v>
      </c>
      <c r="K174" s="110">
        <v>5.5046999999999997</v>
      </c>
    </row>
    <row r="175" spans="1:11" x14ac:dyDescent="0.2">
      <c r="A175" s="111">
        <v>3</v>
      </c>
      <c r="B175" t="s">
        <v>1880</v>
      </c>
      <c r="C175" t="s">
        <v>2026</v>
      </c>
      <c r="D175">
        <v>500862</v>
      </c>
      <c r="E175" t="s">
        <v>86</v>
      </c>
      <c r="F175" t="s">
        <v>87</v>
      </c>
      <c r="G175" s="110">
        <v>2320.2940100000001</v>
      </c>
      <c r="H175" s="110">
        <v>2867.1957400000001</v>
      </c>
      <c r="I175" s="110">
        <v>3791.9975199999999</v>
      </c>
      <c r="J175" s="110">
        <v>4478.5500300000003</v>
      </c>
      <c r="K175" s="110">
        <v>5185.23981</v>
      </c>
    </row>
    <row r="176" spans="1:11" x14ac:dyDescent="0.2">
      <c r="A176" s="111">
        <v>3</v>
      </c>
      <c r="B176" t="s">
        <v>1880</v>
      </c>
      <c r="C176" t="s">
        <v>2026</v>
      </c>
      <c r="D176">
        <v>500939</v>
      </c>
      <c r="E176" t="s">
        <v>394</v>
      </c>
      <c r="F176" t="s">
        <v>395</v>
      </c>
      <c r="G176" s="110">
        <v>66.544449999999998</v>
      </c>
      <c r="H176" s="110">
        <v>84.997</v>
      </c>
      <c r="I176" s="110">
        <v>95.920439999999999</v>
      </c>
      <c r="J176" s="110">
        <v>107.16861</v>
      </c>
      <c r="K176" s="110">
        <v>112.47175</v>
      </c>
    </row>
    <row r="177" spans="1:11" x14ac:dyDescent="0.2">
      <c r="A177" s="111">
        <v>4</v>
      </c>
      <c r="B177" t="s">
        <v>1887</v>
      </c>
      <c r="C177" t="s">
        <v>2025</v>
      </c>
      <c r="D177">
        <v>500002</v>
      </c>
      <c r="E177" t="s">
        <v>88</v>
      </c>
      <c r="F177" t="s">
        <v>89</v>
      </c>
      <c r="G177" s="110">
        <v>3558.3541100000002</v>
      </c>
      <c r="H177" s="110">
        <v>3927.3862000000099</v>
      </c>
      <c r="I177" s="110">
        <v>4242.6055699999997</v>
      </c>
      <c r="J177" s="110">
        <v>4619.6639599999999</v>
      </c>
      <c r="K177" s="110">
        <v>5178.5988600000001</v>
      </c>
    </row>
    <row r="178" spans="1:11" x14ac:dyDescent="0.2">
      <c r="A178" s="111">
        <v>4</v>
      </c>
      <c r="B178" t="s">
        <v>1887</v>
      </c>
      <c r="C178" t="s">
        <v>2025</v>
      </c>
      <c r="D178">
        <v>500136</v>
      </c>
      <c r="E178" t="s">
        <v>90</v>
      </c>
      <c r="F178" t="s">
        <v>91</v>
      </c>
      <c r="G178" s="110">
        <v>3024.4407799999999</v>
      </c>
      <c r="H178" s="110">
        <v>3307.3201299999901</v>
      </c>
      <c r="I178" s="110">
        <v>3652.77502</v>
      </c>
      <c r="J178" s="110">
        <v>4107.0370000000003</v>
      </c>
      <c r="K178" s="110">
        <v>4564.0249199999998</v>
      </c>
    </row>
    <row r="179" spans="1:11" x14ac:dyDescent="0.2">
      <c r="A179" s="111">
        <v>4</v>
      </c>
      <c r="B179" t="s">
        <v>1887</v>
      </c>
      <c r="C179" t="s">
        <v>2025</v>
      </c>
      <c r="D179">
        <v>500861</v>
      </c>
      <c r="E179" t="s">
        <v>104</v>
      </c>
      <c r="F179" t="s">
        <v>105</v>
      </c>
      <c r="G179" s="110">
        <v>1478.20136</v>
      </c>
      <c r="H179" s="110">
        <v>1701.4081200000001</v>
      </c>
      <c r="I179" s="110">
        <v>1880.7546299999999</v>
      </c>
      <c r="J179" s="110">
        <v>2108.0539199999998</v>
      </c>
      <c r="K179" s="110">
        <v>2358.5683600000002</v>
      </c>
    </row>
    <row r="180" spans="1:11" x14ac:dyDescent="0.2">
      <c r="A180" s="111">
        <v>4</v>
      </c>
      <c r="B180" t="s">
        <v>1887</v>
      </c>
      <c r="C180" t="s">
        <v>2025</v>
      </c>
      <c r="D180">
        <v>500668</v>
      </c>
      <c r="E180" t="s">
        <v>130</v>
      </c>
      <c r="F180" t="s">
        <v>131</v>
      </c>
      <c r="G180" s="110">
        <v>816.97981000000004</v>
      </c>
      <c r="H180" s="110">
        <v>869.92702000000099</v>
      </c>
      <c r="I180" s="110">
        <v>945.97107000000005</v>
      </c>
      <c r="J180" s="110">
        <v>1046.1788899999999</v>
      </c>
      <c r="K180" s="110">
        <v>1442.7594300000001</v>
      </c>
    </row>
    <row r="181" spans="1:11" x14ac:dyDescent="0.2">
      <c r="A181" s="111">
        <v>4</v>
      </c>
      <c r="B181" t="s">
        <v>1887</v>
      </c>
      <c r="C181" t="s">
        <v>2025</v>
      </c>
      <c r="D181">
        <v>501058</v>
      </c>
      <c r="E181" t="s">
        <v>189</v>
      </c>
      <c r="F181" t="s">
        <v>190</v>
      </c>
      <c r="G181" s="110">
        <v>106.71052</v>
      </c>
      <c r="H181" s="110">
        <v>238.73750000000001</v>
      </c>
      <c r="I181" s="110">
        <v>314.06664999999998</v>
      </c>
      <c r="J181" s="110">
        <v>410.61043000000001</v>
      </c>
      <c r="K181" s="110">
        <v>621.67553999999996</v>
      </c>
    </row>
    <row r="182" spans="1:11" x14ac:dyDescent="0.2">
      <c r="A182" s="111">
        <v>4</v>
      </c>
      <c r="B182" t="s">
        <v>1887</v>
      </c>
      <c r="C182" t="s">
        <v>2025</v>
      </c>
      <c r="D182">
        <v>500024</v>
      </c>
      <c r="E182" t="s">
        <v>207</v>
      </c>
      <c r="F182" t="s">
        <v>208</v>
      </c>
      <c r="G182" s="110">
        <v>366.91847000000001</v>
      </c>
      <c r="H182" s="110">
        <v>388.87826999999999</v>
      </c>
      <c r="I182" s="110">
        <v>427.51909000000001</v>
      </c>
      <c r="J182" s="110">
        <v>471.99468999999999</v>
      </c>
      <c r="K182" s="110">
        <v>548.24077</v>
      </c>
    </row>
    <row r="183" spans="1:11" x14ac:dyDescent="0.2">
      <c r="A183" s="111">
        <v>4</v>
      </c>
      <c r="B183" t="s">
        <v>1887</v>
      </c>
      <c r="C183" t="s">
        <v>2025</v>
      </c>
      <c r="D183">
        <v>500619</v>
      </c>
      <c r="E183" t="s">
        <v>346</v>
      </c>
      <c r="F183" t="s">
        <v>347</v>
      </c>
      <c r="G183" s="110">
        <v>375.47341999999998</v>
      </c>
      <c r="H183" s="110">
        <v>241.45487</v>
      </c>
      <c r="I183" s="110">
        <v>220.32362000000001</v>
      </c>
      <c r="J183" s="110">
        <v>199.30314999999999</v>
      </c>
      <c r="K183" s="110">
        <v>167.49833000000001</v>
      </c>
    </row>
    <row r="184" spans="1:11" x14ac:dyDescent="0.2">
      <c r="A184" s="111">
        <v>4</v>
      </c>
      <c r="B184" t="s">
        <v>1887</v>
      </c>
      <c r="C184" t="s">
        <v>2025</v>
      </c>
      <c r="D184">
        <v>501008</v>
      </c>
      <c r="E184" t="s">
        <v>411</v>
      </c>
      <c r="F184" t="s">
        <v>412</v>
      </c>
      <c r="G184" s="110">
        <v>54.816679999999998</v>
      </c>
      <c r="H184" s="110">
        <v>46.405290000000001</v>
      </c>
      <c r="I184" s="110">
        <v>54.813679999999998</v>
      </c>
      <c r="J184" s="110">
        <v>89.384050000000002</v>
      </c>
      <c r="K184" s="110">
        <v>92.718779999999995</v>
      </c>
    </row>
    <row r="185" spans="1:11" x14ac:dyDescent="0.2">
      <c r="A185" s="111">
        <v>4</v>
      </c>
      <c r="B185" t="s">
        <v>1887</v>
      </c>
      <c r="C185" t="s">
        <v>2025</v>
      </c>
      <c r="D185">
        <v>501041</v>
      </c>
      <c r="E185" t="s">
        <v>456</v>
      </c>
      <c r="F185" t="s">
        <v>457</v>
      </c>
      <c r="G185" s="110">
        <v>22.743379999999998</v>
      </c>
      <c r="H185" s="110">
        <v>35.26473</v>
      </c>
      <c r="I185" s="110">
        <v>45.650709999999997</v>
      </c>
      <c r="J185" s="110">
        <v>57.807699999999997</v>
      </c>
      <c r="K185" s="110">
        <v>69.199250000000006</v>
      </c>
    </row>
    <row r="186" spans="1:11" x14ac:dyDescent="0.2">
      <c r="A186" s="111">
        <v>4</v>
      </c>
      <c r="B186" t="s">
        <v>1887</v>
      </c>
      <c r="C186" t="s">
        <v>2025</v>
      </c>
      <c r="D186">
        <v>501245</v>
      </c>
      <c r="E186" t="s">
        <v>460</v>
      </c>
      <c r="F186" t="s">
        <v>461</v>
      </c>
      <c r="G186" s="110">
        <v>0</v>
      </c>
      <c r="H186" s="110">
        <v>0</v>
      </c>
      <c r="I186" s="110">
        <v>0</v>
      </c>
      <c r="J186" s="110">
        <v>0</v>
      </c>
      <c r="K186" s="110">
        <v>65.823970000000003</v>
      </c>
    </row>
    <row r="187" spans="1:11" x14ac:dyDescent="0.2">
      <c r="A187" s="111">
        <v>4</v>
      </c>
      <c r="B187" t="s">
        <v>1887</v>
      </c>
      <c r="C187" t="s">
        <v>2025</v>
      </c>
      <c r="D187">
        <v>500017</v>
      </c>
      <c r="E187" t="s">
        <v>566</v>
      </c>
      <c r="F187" t="s">
        <v>567</v>
      </c>
      <c r="G187" s="110">
        <v>16.27262</v>
      </c>
      <c r="H187" s="110">
        <v>15.58521</v>
      </c>
      <c r="I187" s="110">
        <v>15.69619</v>
      </c>
      <c r="J187" s="110">
        <v>17.55987</v>
      </c>
      <c r="K187" s="110">
        <v>20.06897</v>
      </c>
    </row>
    <row r="188" spans="1:11" x14ac:dyDescent="0.2">
      <c r="A188" s="111">
        <v>4</v>
      </c>
      <c r="B188" t="s">
        <v>1887</v>
      </c>
      <c r="C188" t="s">
        <v>2025</v>
      </c>
      <c r="D188">
        <v>500701</v>
      </c>
      <c r="E188" t="s">
        <v>589</v>
      </c>
      <c r="F188" t="s">
        <v>590</v>
      </c>
      <c r="G188" s="110">
        <v>16.1187</v>
      </c>
      <c r="H188" s="110">
        <v>15.705299999999999</v>
      </c>
      <c r="I188" s="110">
        <v>15.6828</v>
      </c>
      <c r="J188" s="110">
        <v>14.8431</v>
      </c>
      <c r="K188" s="110">
        <v>14.617900000000001</v>
      </c>
    </row>
    <row r="189" spans="1:11" x14ac:dyDescent="0.2">
      <c r="A189" s="111">
        <v>4</v>
      </c>
      <c r="B189" t="s">
        <v>1887</v>
      </c>
      <c r="C189" t="s">
        <v>2025</v>
      </c>
      <c r="D189">
        <v>500660</v>
      </c>
      <c r="E189" t="s">
        <v>606</v>
      </c>
      <c r="F189" t="s">
        <v>607</v>
      </c>
      <c r="G189" s="110">
        <v>11.071199999999999</v>
      </c>
      <c r="H189" s="110">
        <v>10.88115</v>
      </c>
      <c r="I189" s="110">
        <v>10.03748</v>
      </c>
      <c r="J189" s="110">
        <v>10.058400000000001</v>
      </c>
      <c r="K189" s="110">
        <v>10.2384</v>
      </c>
    </row>
    <row r="190" spans="1:11" x14ac:dyDescent="0.2">
      <c r="A190" s="111">
        <v>4</v>
      </c>
      <c r="B190" t="s">
        <v>1887</v>
      </c>
      <c r="C190" t="s">
        <v>2025</v>
      </c>
      <c r="D190">
        <v>500425</v>
      </c>
      <c r="E190" t="s">
        <v>612</v>
      </c>
      <c r="F190" t="s">
        <v>613</v>
      </c>
      <c r="G190" s="110">
        <v>7.0419999999999998</v>
      </c>
      <c r="H190" s="110">
        <v>7.3037999999999998</v>
      </c>
      <c r="I190" s="110">
        <v>7.4561900000000003</v>
      </c>
      <c r="J190" s="110">
        <v>7.8422700000000001</v>
      </c>
      <c r="K190" s="110">
        <v>9.3614999999999995</v>
      </c>
    </row>
    <row r="191" spans="1:11" x14ac:dyDescent="0.2">
      <c r="A191" s="111">
        <v>4</v>
      </c>
      <c r="B191" t="s">
        <v>1887</v>
      </c>
      <c r="C191" t="s">
        <v>2025</v>
      </c>
      <c r="D191">
        <v>500611</v>
      </c>
      <c r="E191" t="s">
        <v>633</v>
      </c>
      <c r="F191" t="s">
        <v>634</v>
      </c>
      <c r="G191" s="110">
        <v>1.5</v>
      </c>
      <c r="H191" s="110">
        <v>2.1</v>
      </c>
      <c r="I191" s="110">
        <v>3.15</v>
      </c>
      <c r="J191" s="110">
        <v>5.625</v>
      </c>
      <c r="K191" s="110">
        <v>7.4555999999999996</v>
      </c>
    </row>
    <row r="192" spans="1:11" x14ac:dyDescent="0.2">
      <c r="A192" s="111">
        <v>4</v>
      </c>
      <c r="B192" t="s">
        <v>1887</v>
      </c>
      <c r="C192" t="s">
        <v>2025</v>
      </c>
      <c r="D192">
        <v>500038</v>
      </c>
      <c r="E192" t="s">
        <v>690</v>
      </c>
      <c r="F192" t="s">
        <v>691</v>
      </c>
      <c r="G192" s="110">
        <v>3.9044400000000001</v>
      </c>
      <c r="H192" s="110">
        <v>3.67197</v>
      </c>
      <c r="I192" s="110">
        <v>4.03477</v>
      </c>
      <c r="J192" s="110">
        <v>4.4783999999999997</v>
      </c>
      <c r="K192" s="110">
        <v>3.5389499999999998</v>
      </c>
    </row>
    <row r="193" spans="1:11" x14ac:dyDescent="0.2">
      <c r="A193" s="111">
        <v>4</v>
      </c>
      <c r="B193" t="s">
        <v>1887</v>
      </c>
      <c r="C193" t="s">
        <v>2026</v>
      </c>
      <c r="D193">
        <v>500633</v>
      </c>
      <c r="E193" t="s">
        <v>181</v>
      </c>
      <c r="F193" t="s">
        <v>182</v>
      </c>
      <c r="G193" s="110">
        <v>455.75706000000002</v>
      </c>
      <c r="H193" s="110">
        <v>544.16278999999997</v>
      </c>
      <c r="I193" s="110">
        <v>595.27832000000001</v>
      </c>
      <c r="J193" s="110">
        <v>622.23094000000003</v>
      </c>
      <c r="K193" s="110">
        <v>658.01620000000003</v>
      </c>
    </row>
    <row r="194" spans="1:11" x14ac:dyDescent="0.2">
      <c r="A194" s="111">
        <v>4</v>
      </c>
      <c r="B194" t="s">
        <v>1887</v>
      </c>
      <c r="C194" t="s">
        <v>2026</v>
      </c>
      <c r="D194">
        <v>501047</v>
      </c>
      <c r="E194" t="s">
        <v>243</v>
      </c>
      <c r="F194" t="s">
        <v>244</v>
      </c>
      <c r="G194" s="110">
        <v>149.33359999999999</v>
      </c>
      <c r="H194" s="110">
        <v>237.63165000000001</v>
      </c>
      <c r="I194" s="110">
        <v>283.13504999999998</v>
      </c>
      <c r="J194" s="110">
        <v>309.31324999999998</v>
      </c>
      <c r="K194" s="110">
        <v>390.79539</v>
      </c>
    </row>
    <row r="195" spans="1:11" x14ac:dyDescent="0.2">
      <c r="A195" s="111">
        <v>4</v>
      </c>
      <c r="B195" t="s">
        <v>1887</v>
      </c>
      <c r="C195" t="s">
        <v>2026</v>
      </c>
      <c r="D195">
        <v>500938</v>
      </c>
      <c r="E195" t="s">
        <v>392</v>
      </c>
      <c r="F195" t="s">
        <v>393</v>
      </c>
      <c r="G195" s="110">
        <v>66.142179999999996</v>
      </c>
      <c r="H195" s="110">
        <v>79.425560000000004</v>
      </c>
      <c r="I195" s="110">
        <v>88.197869999999995</v>
      </c>
      <c r="J195" s="110">
        <v>104.12929</v>
      </c>
      <c r="K195" s="110">
        <v>114.14528</v>
      </c>
    </row>
    <row r="196" spans="1:11" x14ac:dyDescent="0.2">
      <c r="A196" s="111">
        <v>4</v>
      </c>
      <c r="B196" t="s">
        <v>1887</v>
      </c>
      <c r="C196" t="s">
        <v>2026</v>
      </c>
      <c r="D196">
        <v>501246</v>
      </c>
      <c r="E196" t="s">
        <v>466</v>
      </c>
      <c r="F196" t="s">
        <v>467</v>
      </c>
      <c r="G196" s="110">
        <v>0</v>
      </c>
      <c r="H196" s="110">
        <v>0</v>
      </c>
      <c r="I196" s="110">
        <v>0</v>
      </c>
      <c r="J196" s="110">
        <v>0</v>
      </c>
      <c r="K196" s="110">
        <v>61.645499999999998</v>
      </c>
    </row>
    <row r="197" spans="1:11" x14ac:dyDescent="0.2">
      <c r="A197" s="111">
        <v>5</v>
      </c>
      <c r="B197" t="s">
        <v>1894</v>
      </c>
      <c r="C197" t="s">
        <v>2025</v>
      </c>
      <c r="D197">
        <v>500103</v>
      </c>
      <c r="E197" t="s">
        <v>112</v>
      </c>
      <c r="F197" t="s">
        <v>113</v>
      </c>
      <c r="G197" s="110">
        <v>1438.7997499999999</v>
      </c>
      <c r="H197" s="110">
        <v>1515.6590799999999</v>
      </c>
      <c r="I197" s="110">
        <v>1608.7297100000001</v>
      </c>
      <c r="J197" s="110">
        <v>1636.1887300000001</v>
      </c>
      <c r="K197" s="110">
        <v>1749.8149800000001</v>
      </c>
    </row>
    <row r="198" spans="1:11" x14ac:dyDescent="0.2">
      <c r="A198" s="111">
        <v>5</v>
      </c>
      <c r="B198" t="s">
        <v>1894</v>
      </c>
      <c r="C198" t="s">
        <v>2025</v>
      </c>
      <c r="D198">
        <v>501004</v>
      </c>
      <c r="E198" t="s">
        <v>122</v>
      </c>
      <c r="F198" t="s">
        <v>123</v>
      </c>
      <c r="G198" s="110">
        <v>832.51814999999999</v>
      </c>
      <c r="H198" s="110">
        <v>1180.4671499999999</v>
      </c>
      <c r="I198" s="110">
        <v>1328.2729300000001</v>
      </c>
      <c r="J198" s="110">
        <v>1384.7830300000001</v>
      </c>
      <c r="K198" s="110">
        <v>1569.4502199999999</v>
      </c>
    </row>
    <row r="199" spans="1:11" x14ac:dyDescent="0.2">
      <c r="A199" s="111">
        <v>5</v>
      </c>
      <c r="B199" t="s">
        <v>1894</v>
      </c>
      <c r="C199" t="s">
        <v>2025</v>
      </c>
      <c r="D199">
        <v>500188</v>
      </c>
      <c r="E199" t="s">
        <v>177</v>
      </c>
      <c r="F199" t="s">
        <v>178</v>
      </c>
      <c r="G199" s="110">
        <v>445.13967000000002</v>
      </c>
      <c r="H199" s="110">
        <v>482.81218000000001</v>
      </c>
      <c r="I199" s="110">
        <v>541.94674999999995</v>
      </c>
      <c r="J199" s="110">
        <v>611.95591000000002</v>
      </c>
      <c r="K199" s="110">
        <v>676.43877999999995</v>
      </c>
    </row>
    <row r="200" spans="1:11" x14ac:dyDescent="0.2">
      <c r="A200" s="111">
        <v>5</v>
      </c>
      <c r="B200" t="s">
        <v>1894</v>
      </c>
      <c r="C200" t="s">
        <v>2025</v>
      </c>
      <c r="D200">
        <v>500643</v>
      </c>
      <c r="E200" t="s">
        <v>223</v>
      </c>
      <c r="F200" t="s">
        <v>224</v>
      </c>
      <c r="G200" s="110">
        <v>275.55898000000002</v>
      </c>
      <c r="H200" s="110">
        <v>350.49257999999998</v>
      </c>
      <c r="I200" s="110">
        <v>427.56123000000002</v>
      </c>
      <c r="J200" s="110">
        <v>443.13391000000001</v>
      </c>
      <c r="K200" s="110">
        <v>493.06968000000001</v>
      </c>
    </row>
    <row r="201" spans="1:11" x14ac:dyDescent="0.2">
      <c r="A201" s="111">
        <v>5</v>
      </c>
      <c r="B201" t="s">
        <v>1894</v>
      </c>
      <c r="C201" t="s">
        <v>2025</v>
      </c>
      <c r="D201">
        <v>500031</v>
      </c>
      <c r="E201" t="s">
        <v>246</v>
      </c>
      <c r="F201" t="s">
        <v>247</v>
      </c>
      <c r="G201" s="110">
        <v>295.03354000000002</v>
      </c>
      <c r="H201" s="110">
        <v>316.56175999999999</v>
      </c>
      <c r="I201" s="110">
        <v>343.78469999999999</v>
      </c>
      <c r="J201" s="110">
        <v>361.92174999999997</v>
      </c>
      <c r="K201" s="110">
        <v>389.50394</v>
      </c>
    </row>
    <row r="202" spans="1:11" x14ac:dyDescent="0.2">
      <c r="A202" s="111">
        <v>5</v>
      </c>
      <c r="B202" t="s">
        <v>1894</v>
      </c>
      <c r="C202" t="s">
        <v>2025</v>
      </c>
      <c r="D202">
        <v>500088</v>
      </c>
      <c r="E202" t="s">
        <v>258</v>
      </c>
      <c r="F202" t="s">
        <v>259</v>
      </c>
      <c r="G202" s="110">
        <v>268.06909000000002</v>
      </c>
      <c r="H202" s="110">
        <v>291.19092000000001</v>
      </c>
      <c r="I202" s="110">
        <v>311.26539000000002</v>
      </c>
      <c r="J202" s="110">
        <v>330.67432000000002</v>
      </c>
      <c r="K202" s="110">
        <v>360.25312000000002</v>
      </c>
    </row>
    <row r="203" spans="1:11" x14ac:dyDescent="0.2">
      <c r="A203" s="111">
        <v>5</v>
      </c>
      <c r="B203" t="s">
        <v>1894</v>
      </c>
      <c r="C203" t="s">
        <v>2025</v>
      </c>
      <c r="D203">
        <v>500918</v>
      </c>
      <c r="E203" t="s">
        <v>295</v>
      </c>
      <c r="F203" t="s">
        <v>296</v>
      </c>
      <c r="G203" s="110">
        <v>203.34589</v>
      </c>
      <c r="H203" s="110">
        <v>222.96101999999999</v>
      </c>
      <c r="I203" s="110">
        <v>224.62321</v>
      </c>
      <c r="J203" s="110">
        <v>246.94353000000001</v>
      </c>
      <c r="K203" s="110">
        <v>255.16188</v>
      </c>
    </row>
    <row r="204" spans="1:11" x14ac:dyDescent="0.2">
      <c r="A204" s="111">
        <v>5</v>
      </c>
      <c r="B204" t="s">
        <v>1894</v>
      </c>
      <c r="C204" t="s">
        <v>2025</v>
      </c>
      <c r="D204">
        <v>500608</v>
      </c>
      <c r="E204" t="s">
        <v>321</v>
      </c>
      <c r="F204" t="s">
        <v>322</v>
      </c>
      <c r="G204" s="110">
        <v>127.16776</v>
      </c>
      <c r="H204" s="110">
        <v>147.03736000000001</v>
      </c>
      <c r="I204" s="110">
        <v>163.02436</v>
      </c>
      <c r="J204" s="110">
        <v>178.91542999999999</v>
      </c>
      <c r="K204" s="110">
        <v>207.43306000000001</v>
      </c>
    </row>
    <row r="205" spans="1:11" x14ac:dyDescent="0.2">
      <c r="A205" s="111">
        <v>5</v>
      </c>
      <c r="B205" t="s">
        <v>1894</v>
      </c>
      <c r="C205" t="s">
        <v>2025</v>
      </c>
      <c r="D205">
        <v>500940</v>
      </c>
      <c r="E205" t="s">
        <v>426</v>
      </c>
      <c r="F205" t="s">
        <v>427</v>
      </c>
      <c r="G205" s="110">
        <v>41.865279999999998</v>
      </c>
      <c r="H205" s="110">
        <v>52.477879999999999</v>
      </c>
      <c r="I205" s="110">
        <v>63.006720000000001</v>
      </c>
      <c r="J205" s="110">
        <v>70.887870000000007</v>
      </c>
      <c r="K205" s="110">
        <v>84.86215</v>
      </c>
    </row>
    <row r="206" spans="1:11" x14ac:dyDescent="0.2">
      <c r="A206" s="111">
        <v>5</v>
      </c>
      <c r="B206" t="s">
        <v>1894</v>
      </c>
      <c r="C206" t="s">
        <v>2025</v>
      </c>
      <c r="D206">
        <v>500651</v>
      </c>
      <c r="E206" t="s">
        <v>446</v>
      </c>
      <c r="F206" t="s">
        <v>447</v>
      </c>
      <c r="G206" s="110">
        <v>58.987699999999997</v>
      </c>
      <c r="H206" s="110">
        <v>61.323189999999997</v>
      </c>
      <c r="I206" s="110">
        <v>61.593649999999997</v>
      </c>
      <c r="J206" s="110">
        <v>67.923079999999999</v>
      </c>
      <c r="K206" s="110">
        <v>74.489620000000002</v>
      </c>
    </row>
    <row r="207" spans="1:11" x14ac:dyDescent="0.2">
      <c r="A207" s="111">
        <v>5</v>
      </c>
      <c r="B207" t="s">
        <v>1894</v>
      </c>
      <c r="C207" t="s">
        <v>2025</v>
      </c>
      <c r="D207">
        <v>500699</v>
      </c>
      <c r="E207" t="s">
        <v>450</v>
      </c>
      <c r="F207" t="s">
        <v>451</v>
      </c>
      <c r="G207" s="110">
        <v>27.872800000000002</v>
      </c>
      <c r="H207" s="110">
        <v>33.628300000000003</v>
      </c>
      <c r="I207" s="110">
        <v>41.126800000000003</v>
      </c>
      <c r="J207" s="110">
        <v>54.668999999999997</v>
      </c>
      <c r="K207" s="110">
        <v>72.513599999999997</v>
      </c>
    </row>
    <row r="208" spans="1:11" x14ac:dyDescent="0.2">
      <c r="A208" s="111">
        <v>5</v>
      </c>
      <c r="B208" t="s">
        <v>1894</v>
      </c>
      <c r="C208" t="s">
        <v>2025</v>
      </c>
      <c r="D208">
        <v>501040</v>
      </c>
      <c r="E208" t="s">
        <v>492</v>
      </c>
      <c r="F208" t="s">
        <v>493</v>
      </c>
      <c r="G208" s="110">
        <v>16.255590000000002</v>
      </c>
      <c r="H208" s="110">
        <v>21.222079999999998</v>
      </c>
      <c r="I208" s="110">
        <v>32.838679999999997</v>
      </c>
      <c r="J208" s="110">
        <v>39.639130000000002</v>
      </c>
      <c r="K208" s="110">
        <v>46.757759999999998</v>
      </c>
    </row>
    <row r="209" spans="1:11" x14ac:dyDescent="0.2">
      <c r="A209" s="111">
        <v>5</v>
      </c>
      <c r="B209" t="s">
        <v>1894</v>
      </c>
      <c r="C209" t="s">
        <v>2025</v>
      </c>
      <c r="D209">
        <v>500832</v>
      </c>
      <c r="E209" t="s">
        <v>504</v>
      </c>
      <c r="F209" t="s">
        <v>505</v>
      </c>
      <c r="G209" s="110">
        <v>24.163799999999998</v>
      </c>
      <c r="H209" s="110">
        <v>25.33501</v>
      </c>
      <c r="I209" s="110">
        <v>25.773150000000001</v>
      </c>
      <c r="J209" s="110">
        <v>26.4</v>
      </c>
      <c r="K209" s="110">
        <v>40.137500000000003</v>
      </c>
    </row>
    <row r="210" spans="1:11" x14ac:dyDescent="0.2">
      <c r="A210" s="111">
        <v>5</v>
      </c>
      <c r="B210" t="s">
        <v>1894</v>
      </c>
      <c r="C210" t="s">
        <v>2025</v>
      </c>
      <c r="D210">
        <v>500009</v>
      </c>
      <c r="E210" t="s">
        <v>544</v>
      </c>
      <c r="F210" t="s">
        <v>545</v>
      </c>
      <c r="G210" s="110">
        <v>17.933350000000001</v>
      </c>
      <c r="H210" s="110">
        <v>19.123370000000001</v>
      </c>
      <c r="I210" s="110">
        <v>21.17521</v>
      </c>
      <c r="J210" s="110">
        <v>23.229310000000002</v>
      </c>
      <c r="K210" s="110">
        <v>25.314399999999999</v>
      </c>
    </row>
    <row r="211" spans="1:11" x14ac:dyDescent="0.2">
      <c r="A211" s="111">
        <v>5</v>
      </c>
      <c r="B211" t="s">
        <v>1894</v>
      </c>
      <c r="C211" t="s">
        <v>2025</v>
      </c>
      <c r="D211">
        <v>500305</v>
      </c>
      <c r="E211" t="s">
        <v>546</v>
      </c>
      <c r="F211" t="s">
        <v>547</v>
      </c>
      <c r="G211" s="110">
        <v>23.31775</v>
      </c>
      <c r="H211" s="110">
        <v>23.122450000000001</v>
      </c>
      <c r="I211" s="110">
        <v>22.518450000000001</v>
      </c>
      <c r="J211" s="110">
        <v>23.864049999999999</v>
      </c>
      <c r="K211" s="110">
        <v>25.263310000000001</v>
      </c>
    </row>
    <row r="212" spans="1:11" x14ac:dyDescent="0.2">
      <c r="A212" s="111">
        <v>5</v>
      </c>
      <c r="B212" t="s">
        <v>1894</v>
      </c>
      <c r="C212" t="s">
        <v>2025</v>
      </c>
      <c r="D212">
        <v>500975</v>
      </c>
      <c r="E212" t="s">
        <v>578</v>
      </c>
      <c r="F212" t="s">
        <v>579</v>
      </c>
      <c r="G212" s="110">
        <v>12.77707</v>
      </c>
      <c r="H212" s="110">
        <v>12.41689</v>
      </c>
      <c r="I212" s="110">
        <v>17.018239999999999</v>
      </c>
      <c r="J212" s="110">
        <v>17.637260000000001</v>
      </c>
      <c r="K212" s="110">
        <v>18.433800000000002</v>
      </c>
    </row>
    <row r="213" spans="1:11" x14ac:dyDescent="0.2">
      <c r="A213" s="111">
        <v>5</v>
      </c>
      <c r="B213" t="s">
        <v>1894</v>
      </c>
      <c r="C213" t="s">
        <v>2025</v>
      </c>
      <c r="D213">
        <v>500107</v>
      </c>
      <c r="E213" t="s">
        <v>651</v>
      </c>
      <c r="F213" t="s">
        <v>652</v>
      </c>
      <c r="G213" s="110">
        <v>4.6125600000000002</v>
      </c>
      <c r="H213" s="110">
        <v>4.9876199999999997</v>
      </c>
      <c r="I213" s="110">
        <v>5.2771999999999997</v>
      </c>
      <c r="J213" s="110">
        <v>5.6371200000000004</v>
      </c>
      <c r="K213" s="110">
        <v>6.5030700000000001</v>
      </c>
    </row>
    <row r="214" spans="1:11" x14ac:dyDescent="0.2">
      <c r="A214" s="111">
        <v>5</v>
      </c>
      <c r="B214" t="s">
        <v>1894</v>
      </c>
      <c r="C214" t="s">
        <v>2025</v>
      </c>
      <c r="D214">
        <v>500851</v>
      </c>
      <c r="E214" t="s">
        <v>661</v>
      </c>
      <c r="F214" t="s">
        <v>662</v>
      </c>
      <c r="G214" s="110">
        <v>4.2282400000000004</v>
      </c>
      <c r="H214" s="110">
        <v>4.3292299999999999</v>
      </c>
      <c r="I214" s="110">
        <v>4.7127400000000002</v>
      </c>
      <c r="J214" s="110">
        <v>5.7414500000000004</v>
      </c>
      <c r="K214" s="110">
        <v>6.1183100000000001</v>
      </c>
    </row>
    <row r="215" spans="1:11" x14ac:dyDescent="0.2">
      <c r="A215" s="111">
        <v>5</v>
      </c>
      <c r="B215" t="s">
        <v>1894</v>
      </c>
      <c r="C215" t="s">
        <v>2025</v>
      </c>
      <c r="D215">
        <v>500014</v>
      </c>
      <c r="E215" t="s">
        <v>663</v>
      </c>
      <c r="F215" t="s">
        <v>664</v>
      </c>
      <c r="G215" s="110">
        <v>4.4395800000000003</v>
      </c>
      <c r="H215" s="110">
        <v>4.7348400000000002</v>
      </c>
      <c r="I215" s="110">
        <v>5.5347</v>
      </c>
      <c r="J215" s="110">
        <v>6.1361100000000004</v>
      </c>
      <c r="K215" s="110">
        <v>6.0645899999999999</v>
      </c>
    </row>
    <row r="216" spans="1:11" x14ac:dyDescent="0.2">
      <c r="A216" s="111">
        <v>5</v>
      </c>
      <c r="B216" t="s">
        <v>1894</v>
      </c>
      <c r="C216" t="s">
        <v>2025</v>
      </c>
      <c r="D216">
        <v>500200</v>
      </c>
      <c r="E216" t="s">
        <v>730</v>
      </c>
      <c r="F216" t="s">
        <v>731</v>
      </c>
      <c r="G216" s="110">
        <v>2.0592000000000001</v>
      </c>
      <c r="H216" s="110">
        <v>2.0592000000000001</v>
      </c>
      <c r="I216" s="110">
        <v>2.0592000000000001</v>
      </c>
      <c r="J216" s="110">
        <v>2.0640000000000001</v>
      </c>
      <c r="K216" s="110">
        <v>1.8355999999999999</v>
      </c>
    </row>
    <row r="217" spans="1:11" x14ac:dyDescent="0.2">
      <c r="A217" s="111">
        <v>5</v>
      </c>
      <c r="B217" t="s">
        <v>1894</v>
      </c>
      <c r="C217" t="s">
        <v>2025</v>
      </c>
      <c r="D217">
        <v>500210</v>
      </c>
      <c r="E217" t="s">
        <v>754</v>
      </c>
      <c r="F217" t="s">
        <v>755</v>
      </c>
      <c r="G217" s="110">
        <v>1.1679999999999999</v>
      </c>
      <c r="H217" s="110">
        <v>1.3919999999999999</v>
      </c>
      <c r="I217" s="110">
        <v>1.2088000000000001</v>
      </c>
      <c r="J217" s="110">
        <v>1.23885</v>
      </c>
      <c r="K217" s="110">
        <v>1.2979499999999999</v>
      </c>
    </row>
    <row r="218" spans="1:11" x14ac:dyDescent="0.2">
      <c r="A218" s="111">
        <v>5</v>
      </c>
      <c r="B218" t="s">
        <v>1894</v>
      </c>
      <c r="C218" t="s">
        <v>2025</v>
      </c>
      <c r="D218">
        <v>500211</v>
      </c>
      <c r="E218" t="s">
        <v>756</v>
      </c>
      <c r="F218" t="s">
        <v>757</v>
      </c>
      <c r="G218" s="110">
        <v>1.3417600000000001</v>
      </c>
      <c r="H218" s="110">
        <v>1.2675000000000001</v>
      </c>
      <c r="I218" s="110">
        <v>1.2075</v>
      </c>
      <c r="J218" s="110">
        <v>1.18845</v>
      </c>
      <c r="K218" s="110">
        <v>1.2372000000000001</v>
      </c>
    </row>
    <row r="219" spans="1:11" x14ac:dyDescent="0.2">
      <c r="A219" s="111">
        <v>5</v>
      </c>
      <c r="B219" t="s">
        <v>1894</v>
      </c>
      <c r="C219" t="s">
        <v>2026</v>
      </c>
      <c r="D219">
        <v>501136</v>
      </c>
      <c r="E219" t="s">
        <v>213</v>
      </c>
      <c r="F219" t="s">
        <v>214</v>
      </c>
      <c r="G219" s="110">
        <v>0</v>
      </c>
      <c r="H219" s="110">
        <v>0</v>
      </c>
      <c r="I219" s="110">
        <v>112.27249999999999</v>
      </c>
      <c r="J219" s="110">
        <v>304.32229999999998</v>
      </c>
      <c r="K219" s="110">
        <v>524.50165000000004</v>
      </c>
    </row>
    <row r="220" spans="1:11" x14ac:dyDescent="0.2">
      <c r="A220" s="111">
        <v>5</v>
      </c>
      <c r="B220" t="s">
        <v>1894</v>
      </c>
      <c r="C220" t="s">
        <v>2026</v>
      </c>
      <c r="D220">
        <v>501193</v>
      </c>
      <c r="E220" t="s">
        <v>400</v>
      </c>
      <c r="F220" t="s">
        <v>401</v>
      </c>
      <c r="G220" s="110">
        <v>0</v>
      </c>
      <c r="H220" s="110">
        <v>0</v>
      </c>
      <c r="I220" s="110">
        <v>0</v>
      </c>
      <c r="J220" s="110">
        <v>31.724799999999998</v>
      </c>
      <c r="K220" s="110">
        <v>99.538399999999996</v>
      </c>
    </row>
    <row r="221" spans="1:11" x14ac:dyDescent="0.2">
      <c r="A221" s="111">
        <v>6</v>
      </c>
      <c r="B221" t="s">
        <v>1900</v>
      </c>
      <c r="C221" t="s">
        <v>2025</v>
      </c>
      <c r="D221">
        <v>500141</v>
      </c>
      <c r="E221" t="s">
        <v>100</v>
      </c>
      <c r="F221" t="s">
        <v>101</v>
      </c>
      <c r="G221" s="110">
        <v>1838.14375</v>
      </c>
      <c r="H221" s="110">
        <v>1939.41156</v>
      </c>
      <c r="I221" s="110">
        <v>2143.98855</v>
      </c>
      <c r="J221" s="110">
        <v>2347.24226</v>
      </c>
      <c r="K221" s="110">
        <v>2504.1611400000002</v>
      </c>
    </row>
    <row r="222" spans="1:11" x14ac:dyDescent="0.2">
      <c r="A222" s="111">
        <v>6</v>
      </c>
      <c r="B222" t="s">
        <v>1900</v>
      </c>
      <c r="C222" t="s">
        <v>2025</v>
      </c>
      <c r="D222">
        <v>500019</v>
      </c>
      <c r="E222" t="s">
        <v>114</v>
      </c>
      <c r="F222" t="s">
        <v>115</v>
      </c>
      <c r="G222" s="110">
        <v>1178.03079</v>
      </c>
      <c r="H222" s="110">
        <v>1309.4259</v>
      </c>
      <c r="I222" s="110">
        <v>1455.2276300000001</v>
      </c>
      <c r="J222" s="110">
        <v>1618.58761</v>
      </c>
      <c r="K222" s="110">
        <v>1727.0967700000001</v>
      </c>
    </row>
    <row r="223" spans="1:11" x14ac:dyDescent="0.2">
      <c r="A223" s="111">
        <v>6</v>
      </c>
      <c r="B223" t="s">
        <v>1900</v>
      </c>
      <c r="C223" t="s">
        <v>2025</v>
      </c>
      <c r="D223">
        <v>500867</v>
      </c>
      <c r="E223" t="s">
        <v>118</v>
      </c>
      <c r="F223" t="s">
        <v>119</v>
      </c>
      <c r="G223" s="110">
        <v>1059.27532</v>
      </c>
      <c r="H223" s="110">
        <v>1214.6266900000001</v>
      </c>
      <c r="I223" s="110">
        <v>1357.7489700000001</v>
      </c>
      <c r="J223" s="110">
        <v>1507.16633</v>
      </c>
      <c r="K223" s="110">
        <v>1665.3118300000001</v>
      </c>
    </row>
    <row r="224" spans="1:11" x14ac:dyDescent="0.2">
      <c r="A224" s="111">
        <v>6</v>
      </c>
      <c r="B224" t="s">
        <v>1900</v>
      </c>
      <c r="C224" t="s">
        <v>2025</v>
      </c>
      <c r="D224">
        <v>500833</v>
      </c>
      <c r="E224" t="s">
        <v>120</v>
      </c>
      <c r="F224" t="s">
        <v>121</v>
      </c>
      <c r="G224" s="110">
        <v>1319.1334300000001</v>
      </c>
      <c r="H224" s="110">
        <v>1563.8654300000001</v>
      </c>
      <c r="I224" s="110">
        <v>1643.10564</v>
      </c>
      <c r="J224" s="110">
        <v>1602.1135300000001</v>
      </c>
      <c r="K224" s="110">
        <v>1619.34943</v>
      </c>
    </row>
    <row r="225" spans="1:11" x14ac:dyDescent="0.2">
      <c r="A225" s="111">
        <v>6</v>
      </c>
      <c r="B225" t="s">
        <v>1900</v>
      </c>
      <c r="C225" t="s">
        <v>2025</v>
      </c>
      <c r="D225">
        <v>500809</v>
      </c>
      <c r="E225" t="s">
        <v>153</v>
      </c>
      <c r="F225" t="s">
        <v>154</v>
      </c>
      <c r="G225" s="110">
        <v>648.34959000000003</v>
      </c>
      <c r="H225" s="110">
        <v>714.61171999999999</v>
      </c>
      <c r="I225" s="110">
        <v>814.16853000000003</v>
      </c>
      <c r="J225" s="110">
        <v>873.07799999999997</v>
      </c>
      <c r="K225" s="110">
        <v>916.21621000000005</v>
      </c>
    </row>
    <row r="226" spans="1:11" x14ac:dyDescent="0.2">
      <c r="A226" s="111">
        <v>6</v>
      </c>
      <c r="B226" t="s">
        <v>1900</v>
      </c>
      <c r="C226" t="s">
        <v>2025</v>
      </c>
      <c r="D226">
        <v>500189</v>
      </c>
      <c r="E226" t="s">
        <v>179</v>
      </c>
      <c r="F226" t="s">
        <v>180</v>
      </c>
      <c r="G226" s="110">
        <v>437.02996999999999</v>
      </c>
      <c r="H226" s="110">
        <v>485.11007999999998</v>
      </c>
      <c r="I226" s="110">
        <v>494.43015000000003</v>
      </c>
      <c r="J226" s="110">
        <v>494.12781000000001</v>
      </c>
      <c r="K226" s="110">
        <v>668.75248999999997</v>
      </c>
    </row>
    <row r="227" spans="1:11" x14ac:dyDescent="0.2">
      <c r="A227" s="111">
        <v>6</v>
      </c>
      <c r="B227" t="s">
        <v>1900</v>
      </c>
      <c r="C227" t="s">
        <v>2025</v>
      </c>
      <c r="D227">
        <v>500973</v>
      </c>
      <c r="E227" t="s">
        <v>227</v>
      </c>
      <c r="F227" t="s">
        <v>228</v>
      </c>
      <c r="G227" s="110">
        <v>274.89638000000002</v>
      </c>
      <c r="H227" s="110">
        <v>343.82711</v>
      </c>
      <c r="I227" s="110">
        <v>385.41408000000001</v>
      </c>
      <c r="J227" s="110">
        <v>436.79028</v>
      </c>
      <c r="K227" s="110">
        <v>464.21552000000003</v>
      </c>
    </row>
    <row r="228" spans="1:11" x14ac:dyDescent="0.2">
      <c r="A228" s="111">
        <v>6</v>
      </c>
      <c r="B228" t="s">
        <v>1900</v>
      </c>
      <c r="C228" t="s">
        <v>2025</v>
      </c>
      <c r="D228">
        <v>500125</v>
      </c>
      <c r="E228" t="s">
        <v>231</v>
      </c>
      <c r="F228" t="s">
        <v>232</v>
      </c>
      <c r="G228" s="110">
        <v>380.47201000000001</v>
      </c>
      <c r="H228" s="110">
        <v>398.19614000000001</v>
      </c>
      <c r="I228" s="110">
        <v>400.35313000000002</v>
      </c>
      <c r="J228" s="110">
        <v>419.69700999999998</v>
      </c>
      <c r="K228" s="110">
        <v>441.30250999999998</v>
      </c>
    </row>
    <row r="229" spans="1:11" x14ac:dyDescent="0.2">
      <c r="A229" s="111">
        <v>6</v>
      </c>
      <c r="B229" t="s">
        <v>1900</v>
      </c>
      <c r="C229" t="s">
        <v>2025</v>
      </c>
      <c r="D229">
        <v>500028</v>
      </c>
      <c r="E229" t="s">
        <v>233</v>
      </c>
      <c r="F229" t="s">
        <v>234</v>
      </c>
      <c r="G229" s="110">
        <v>413.72845000000001</v>
      </c>
      <c r="H229" s="110">
        <v>421.98502000000002</v>
      </c>
      <c r="I229" s="110">
        <v>443.62925000000001</v>
      </c>
      <c r="J229" s="110">
        <v>472.66827000000001</v>
      </c>
      <c r="K229" s="110">
        <v>438.36426</v>
      </c>
    </row>
    <row r="230" spans="1:11" x14ac:dyDescent="0.2">
      <c r="A230" s="111">
        <v>6</v>
      </c>
      <c r="B230" t="s">
        <v>1900</v>
      </c>
      <c r="C230" t="s">
        <v>2025</v>
      </c>
      <c r="D230">
        <v>500101</v>
      </c>
      <c r="E230" t="s">
        <v>277</v>
      </c>
      <c r="F230" t="s">
        <v>278</v>
      </c>
      <c r="G230" s="110">
        <v>322.29225000000002</v>
      </c>
      <c r="H230" s="110">
        <v>344.76612</v>
      </c>
      <c r="I230" s="110">
        <v>364.87243000000001</v>
      </c>
      <c r="J230" s="110">
        <v>354.19648000000001</v>
      </c>
      <c r="K230" s="110">
        <v>306.48944</v>
      </c>
    </row>
    <row r="231" spans="1:11" x14ac:dyDescent="0.2">
      <c r="A231" s="111">
        <v>6</v>
      </c>
      <c r="B231" t="s">
        <v>1900</v>
      </c>
      <c r="C231" t="s">
        <v>2025</v>
      </c>
      <c r="D231">
        <v>500887</v>
      </c>
      <c r="E231" t="s">
        <v>291</v>
      </c>
      <c r="F231" t="s">
        <v>292</v>
      </c>
      <c r="G231" s="110">
        <v>0</v>
      </c>
      <c r="H231" s="110">
        <v>299</v>
      </c>
      <c r="I231" s="110">
        <v>253</v>
      </c>
      <c r="J231" s="110">
        <v>299</v>
      </c>
      <c r="K231" s="110">
        <v>276</v>
      </c>
    </row>
    <row r="232" spans="1:11" x14ac:dyDescent="0.2">
      <c r="A232" s="111">
        <v>6</v>
      </c>
      <c r="B232" t="s">
        <v>1900</v>
      </c>
      <c r="C232" t="s">
        <v>2025</v>
      </c>
      <c r="D232">
        <v>500963</v>
      </c>
      <c r="E232" t="s">
        <v>307</v>
      </c>
      <c r="F232" t="s">
        <v>308</v>
      </c>
      <c r="G232" s="110">
        <v>138.84442000000001</v>
      </c>
      <c r="H232" s="110">
        <v>177.55465000000001</v>
      </c>
      <c r="I232" s="110">
        <v>202.99664000000001</v>
      </c>
      <c r="J232" s="110">
        <v>215.96047999999999</v>
      </c>
      <c r="K232" s="110">
        <v>223.37299999999999</v>
      </c>
    </row>
    <row r="233" spans="1:11" x14ac:dyDescent="0.2">
      <c r="A233" s="111">
        <v>6</v>
      </c>
      <c r="B233" t="s">
        <v>1900</v>
      </c>
      <c r="C233" t="s">
        <v>2025</v>
      </c>
      <c r="D233">
        <v>500097</v>
      </c>
      <c r="E233" t="s">
        <v>333</v>
      </c>
      <c r="F233" t="s">
        <v>334</v>
      </c>
      <c r="G233" s="110">
        <v>144.59244000000001</v>
      </c>
      <c r="H233" s="110">
        <v>143.96880999999999</v>
      </c>
      <c r="I233" s="110">
        <v>152.69515999999999</v>
      </c>
      <c r="J233" s="110">
        <v>169.37682000000001</v>
      </c>
      <c r="K233" s="110">
        <v>181.88399000000001</v>
      </c>
    </row>
    <row r="234" spans="1:11" x14ac:dyDescent="0.2">
      <c r="A234" s="111">
        <v>6</v>
      </c>
      <c r="B234" t="s">
        <v>1900</v>
      </c>
      <c r="C234" t="s">
        <v>2025</v>
      </c>
      <c r="D234">
        <v>500972</v>
      </c>
      <c r="E234" t="s">
        <v>350</v>
      </c>
      <c r="F234" t="s">
        <v>351</v>
      </c>
      <c r="G234" s="110">
        <v>86.598339999999993</v>
      </c>
      <c r="H234" s="110">
        <v>105.05216</v>
      </c>
      <c r="I234" s="110">
        <v>124.13382</v>
      </c>
      <c r="J234" s="110">
        <v>140.15019000000001</v>
      </c>
      <c r="K234" s="110">
        <v>162.78845000000001</v>
      </c>
    </row>
    <row r="235" spans="1:11" x14ac:dyDescent="0.2">
      <c r="A235" s="111">
        <v>6</v>
      </c>
      <c r="B235" t="s">
        <v>1900</v>
      </c>
      <c r="C235" t="s">
        <v>2025</v>
      </c>
      <c r="D235">
        <v>501163</v>
      </c>
      <c r="E235" t="s">
        <v>364</v>
      </c>
      <c r="F235" t="s">
        <v>365</v>
      </c>
      <c r="G235" s="110">
        <v>0</v>
      </c>
      <c r="H235" s="110">
        <v>0</v>
      </c>
      <c r="I235" s="110">
        <v>20.585719999999998</v>
      </c>
      <c r="J235" s="110">
        <v>69.354249999999993</v>
      </c>
      <c r="K235" s="110">
        <v>150.02715000000001</v>
      </c>
    </row>
    <row r="236" spans="1:11" x14ac:dyDescent="0.2">
      <c r="A236" s="111">
        <v>6</v>
      </c>
      <c r="B236" t="s">
        <v>1900</v>
      </c>
      <c r="C236" t="s">
        <v>2025</v>
      </c>
      <c r="D236">
        <v>500878</v>
      </c>
      <c r="E236" t="s">
        <v>380</v>
      </c>
      <c r="F236" t="s">
        <v>381</v>
      </c>
      <c r="G236" s="110">
        <v>87.082310000000007</v>
      </c>
      <c r="H236" s="110">
        <v>88.06935</v>
      </c>
      <c r="I236" s="110">
        <v>109.99728</v>
      </c>
      <c r="J236" s="110">
        <v>121.65728</v>
      </c>
      <c r="K236" s="110">
        <v>133.39296999999999</v>
      </c>
    </row>
    <row r="237" spans="1:11" x14ac:dyDescent="0.2">
      <c r="A237" s="111">
        <v>6</v>
      </c>
      <c r="B237" t="s">
        <v>1900</v>
      </c>
      <c r="C237" t="s">
        <v>2025</v>
      </c>
      <c r="D237">
        <v>500877</v>
      </c>
      <c r="E237" t="s">
        <v>421</v>
      </c>
      <c r="F237" t="s">
        <v>422</v>
      </c>
      <c r="G237" s="110">
        <v>60.138680000000001</v>
      </c>
      <c r="H237" s="110">
        <v>74.913300000000007</v>
      </c>
      <c r="I237" s="110">
        <v>79.527869999999993</v>
      </c>
      <c r="J237" s="110">
        <v>84.260109999999997</v>
      </c>
      <c r="K237" s="110">
        <v>88.005970000000005</v>
      </c>
    </row>
    <row r="238" spans="1:11" x14ac:dyDescent="0.2">
      <c r="A238" s="111">
        <v>6</v>
      </c>
      <c r="B238" t="s">
        <v>1900</v>
      </c>
      <c r="C238" t="s">
        <v>2025</v>
      </c>
      <c r="D238">
        <v>501131</v>
      </c>
      <c r="E238" t="s">
        <v>468</v>
      </c>
      <c r="F238" t="s">
        <v>469</v>
      </c>
      <c r="G238" s="110">
        <v>0</v>
      </c>
      <c r="H238" s="110">
        <v>0</v>
      </c>
      <c r="I238" s="110">
        <v>27.168749999999999</v>
      </c>
      <c r="J238" s="110">
        <v>46.421120000000002</v>
      </c>
      <c r="K238" s="110">
        <v>59.954410000000003</v>
      </c>
    </row>
    <row r="239" spans="1:11" x14ac:dyDescent="0.2">
      <c r="A239" s="111">
        <v>6</v>
      </c>
      <c r="B239" t="s">
        <v>1900</v>
      </c>
      <c r="C239" t="s">
        <v>2025</v>
      </c>
      <c r="D239">
        <v>501181</v>
      </c>
      <c r="E239" t="s">
        <v>472</v>
      </c>
      <c r="F239" t="s">
        <v>473</v>
      </c>
      <c r="G239" s="110">
        <v>0</v>
      </c>
      <c r="H239" s="110">
        <v>0</v>
      </c>
      <c r="I239" s="110">
        <v>0</v>
      </c>
      <c r="J239" s="110">
        <v>28.476900000000001</v>
      </c>
      <c r="K239" s="110">
        <v>57.919199999999996</v>
      </c>
    </row>
    <row r="240" spans="1:11" x14ac:dyDescent="0.2">
      <c r="A240" s="111">
        <v>6</v>
      </c>
      <c r="B240" t="s">
        <v>1900</v>
      </c>
      <c r="C240" t="s">
        <v>2025</v>
      </c>
      <c r="D240">
        <v>500314</v>
      </c>
      <c r="E240" t="s">
        <v>476</v>
      </c>
      <c r="F240" t="s">
        <v>477</v>
      </c>
      <c r="G240" s="110">
        <v>8.2260000000000009</v>
      </c>
      <c r="H240" s="110">
        <v>20.308</v>
      </c>
      <c r="I240" s="110">
        <v>33.255000000000003</v>
      </c>
      <c r="J240" s="110">
        <v>47.466180000000001</v>
      </c>
      <c r="K240" s="110">
        <v>56.86786</v>
      </c>
    </row>
    <row r="241" spans="1:11" x14ac:dyDescent="0.2">
      <c r="A241" s="111">
        <v>6</v>
      </c>
      <c r="B241" t="s">
        <v>1900</v>
      </c>
      <c r="C241" t="s">
        <v>2025</v>
      </c>
      <c r="D241">
        <v>500752</v>
      </c>
      <c r="E241" t="s">
        <v>486</v>
      </c>
      <c r="F241" t="s">
        <v>487</v>
      </c>
      <c r="G241" s="110">
        <v>38.48075</v>
      </c>
      <c r="H241" s="110">
        <v>41.248379999999997</v>
      </c>
      <c r="I241" s="110">
        <v>46.875660000000003</v>
      </c>
      <c r="J241" s="110">
        <v>48.212110000000003</v>
      </c>
      <c r="K241" s="110">
        <v>48.837569999999999</v>
      </c>
    </row>
    <row r="242" spans="1:11" x14ac:dyDescent="0.2">
      <c r="A242" s="111">
        <v>6</v>
      </c>
      <c r="B242" t="s">
        <v>1900</v>
      </c>
      <c r="C242" t="s">
        <v>2025</v>
      </c>
      <c r="D242">
        <v>500302</v>
      </c>
      <c r="E242" t="s">
        <v>528</v>
      </c>
      <c r="F242" t="s">
        <v>529</v>
      </c>
      <c r="G242" s="110">
        <v>29.405999999999999</v>
      </c>
      <c r="H242" s="110">
        <v>28.8779</v>
      </c>
      <c r="I242" s="110">
        <v>29.836950000000002</v>
      </c>
      <c r="J242" s="110">
        <v>31.156600000000001</v>
      </c>
      <c r="K242" s="110">
        <v>32.065019999999997</v>
      </c>
    </row>
    <row r="243" spans="1:11" x14ac:dyDescent="0.2">
      <c r="A243" s="111">
        <v>6</v>
      </c>
      <c r="B243" t="s">
        <v>1900</v>
      </c>
      <c r="C243" t="s">
        <v>2025</v>
      </c>
      <c r="D243">
        <v>500905</v>
      </c>
      <c r="E243" t="s">
        <v>574</v>
      </c>
      <c r="F243" t="s">
        <v>575</v>
      </c>
      <c r="G243" s="110">
        <v>10.00245</v>
      </c>
      <c r="H243" s="110">
        <v>9.3580000000000005</v>
      </c>
      <c r="I243" s="110">
        <v>9.8875499999999992</v>
      </c>
      <c r="J243" s="110">
        <v>16.50075</v>
      </c>
      <c r="K243" s="110">
        <v>19.373760000000001</v>
      </c>
    </row>
    <row r="244" spans="1:11" x14ac:dyDescent="0.2">
      <c r="A244" s="111">
        <v>6</v>
      </c>
      <c r="B244" t="s">
        <v>1900</v>
      </c>
      <c r="C244" t="s">
        <v>2025</v>
      </c>
      <c r="D244">
        <v>500907</v>
      </c>
      <c r="E244" t="s">
        <v>655</v>
      </c>
      <c r="F244" t="s">
        <v>656</v>
      </c>
      <c r="G244" s="110">
        <v>8.2872000000000003</v>
      </c>
      <c r="H244" s="110">
        <v>5.4194399999999998</v>
      </c>
      <c r="I244" s="110">
        <v>8.5218000000000007</v>
      </c>
      <c r="J244" s="110">
        <v>8.6510599999999993</v>
      </c>
      <c r="K244" s="110">
        <v>6.3394199999999996</v>
      </c>
    </row>
    <row r="245" spans="1:11" x14ac:dyDescent="0.2">
      <c r="A245" s="111">
        <v>6</v>
      </c>
      <c r="B245" t="s">
        <v>1900</v>
      </c>
      <c r="C245" t="s">
        <v>2025</v>
      </c>
      <c r="D245">
        <v>501152</v>
      </c>
      <c r="E245" t="s">
        <v>700</v>
      </c>
      <c r="F245" t="s">
        <v>701</v>
      </c>
      <c r="G245" s="110">
        <v>0</v>
      </c>
      <c r="H245" s="110">
        <v>0</v>
      </c>
      <c r="I245" s="110">
        <v>1.9314</v>
      </c>
      <c r="J245" s="110">
        <v>2.5607000000000002</v>
      </c>
      <c r="K245" s="110">
        <v>2.9232</v>
      </c>
    </row>
    <row r="246" spans="1:11" x14ac:dyDescent="0.2">
      <c r="A246" s="111">
        <v>6</v>
      </c>
      <c r="B246" t="s">
        <v>1900</v>
      </c>
      <c r="C246" t="s">
        <v>2025</v>
      </c>
      <c r="D246">
        <v>500906</v>
      </c>
      <c r="E246" t="s">
        <v>706</v>
      </c>
      <c r="F246" t="s">
        <v>707</v>
      </c>
      <c r="G246" s="110">
        <v>4.1894999999999998</v>
      </c>
      <c r="H246" s="110">
        <v>5.8319999999999999</v>
      </c>
      <c r="I246" s="110">
        <v>4.1399900000000001</v>
      </c>
      <c r="J246" s="110">
        <v>3.1080000000000001</v>
      </c>
      <c r="K246" s="110">
        <v>2.5571000000000002</v>
      </c>
    </row>
    <row r="247" spans="1:11" x14ac:dyDescent="0.2">
      <c r="A247" s="111">
        <v>6</v>
      </c>
      <c r="B247" t="s">
        <v>1900</v>
      </c>
      <c r="C247" t="s">
        <v>2026</v>
      </c>
      <c r="D247">
        <v>500656</v>
      </c>
      <c r="E247" t="s">
        <v>84</v>
      </c>
      <c r="F247" t="s">
        <v>85</v>
      </c>
      <c r="G247" s="110">
        <v>2657.7896500000002</v>
      </c>
      <c r="H247" s="110">
        <v>3447.2478900000001</v>
      </c>
      <c r="I247" s="110">
        <v>4157.6912400000001</v>
      </c>
      <c r="J247" s="110">
        <v>4833.1901399999997</v>
      </c>
      <c r="K247" s="110">
        <v>5598.0627599999998</v>
      </c>
    </row>
    <row r="248" spans="1:11" x14ac:dyDescent="0.2">
      <c r="A248" s="111">
        <v>6</v>
      </c>
      <c r="B248" t="s">
        <v>1900</v>
      </c>
      <c r="C248" t="s">
        <v>2026</v>
      </c>
      <c r="D248">
        <v>501010</v>
      </c>
      <c r="E248" t="s">
        <v>170</v>
      </c>
      <c r="F248" t="s">
        <v>171</v>
      </c>
      <c r="G248" s="110">
        <v>354.21125000000001</v>
      </c>
      <c r="H248" s="110">
        <v>462.57294999999999</v>
      </c>
      <c r="I248" s="110">
        <v>588.88715000000002</v>
      </c>
      <c r="J248" s="110">
        <v>652.19907000000001</v>
      </c>
      <c r="K248" s="110">
        <v>719.69221000000005</v>
      </c>
    </row>
    <row r="249" spans="1:11" x14ac:dyDescent="0.2">
      <c r="A249" s="111">
        <v>6</v>
      </c>
      <c r="B249" t="s">
        <v>1900</v>
      </c>
      <c r="C249" t="s">
        <v>2026</v>
      </c>
      <c r="D249">
        <v>500941</v>
      </c>
      <c r="E249" t="s">
        <v>344</v>
      </c>
      <c r="F249" t="s">
        <v>345</v>
      </c>
      <c r="G249" s="110">
        <v>92.682599999999994</v>
      </c>
      <c r="H249" s="110">
        <v>114.1515</v>
      </c>
      <c r="I249" s="110">
        <v>142.44672</v>
      </c>
      <c r="J249" s="110">
        <v>154.79284999999999</v>
      </c>
      <c r="K249" s="110">
        <v>168.70123000000001</v>
      </c>
    </row>
    <row r="250" spans="1:11" x14ac:dyDescent="0.2">
      <c r="A250" s="111">
        <v>6</v>
      </c>
      <c r="B250" t="s">
        <v>1900</v>
      </c>
      <c r="C250" t="s">
        <v>2026</v>
      </c>
      <c r="D250">
        <v>501220</v>
      </c>
      <c r="E250" t="s">
        <v>480</v>
      </c>
      <c r="F250" t="s">
        <v>481</v>
      </c>
      <c r="G250" s="110">
        <v>0</v>
      </c>
      <c r="H250" s="110">
        <v>0</v>
      </c>
      <c r="I250" s="110">
        <v>0</v>
      </c>
      <c r="J250" s="110">
        <v>0</v>
      </c>
      <c r="K250" s="110">
        <v>51.533999999999999</v>
      </c>
    </row>
    <row r="251" spans="1:11" x14ac:dyDescent="0.2">
      <c r="A251" s="111">
        <v>7</v>
      </c>
      <c r="B251" t="s">
        <v>1906</v>
      </c>
      <c r="C251" t="s">
        <v>2025</v>
      </c>
      <c r="D251">
        <v>500977</v>
      </c>
      <c r="E251" t="s">
        <v>94</v>
      </c>
      <c r="F251" t="s">
        <v>95</v>
      </c>
      <c r="G251" s="110">
        <v>2038.7077899999999</v>
      </c>
      <c r="H251" s="110">
        <v>2303.3204000000001</v>
      </c>
      <c r="I251" s="110">
        <v>2497.8135900000002</v>
      </c>
      <c r="J251" s="110">
        <v>2698.8729899999998</v>
      </c>
      <c r="K251" s="110">
        <v>2926.6799900000001</v>
      </c>
    </row>
    <row r="252" spans="1:11" x14ac:dyDescent="0.2">
      <c r="A252" s="111">
        <v>7</v>
      </c>
      <c r="B252" t="s">
        <v>1906</v>
      </c>
      <c r="C252" t="s">
        <v>2025</v>
      </c>
      <c r="D252">
        <v>500831</v>
      </c>
      <c r="E252" t="s">
        <v>132</v>
      </c>
      <c r="F252" t="s">
        <v>133</v>
      </c>
      <c r="G252" s="110">
        <v>853.15706999999998</v>
      </c>
      <c r="H252" s="110">
        <v>1018.5145</v>
      </c>
      <c r="I252" s="110">
        <v>1134.5830699999999</v>
      </c>
      <c r="J252" s="110">
        <v>1289.58231</v>
      </c>
      <c r="K252" s="110">
        <v>1377.0928200000001</v>
      </c>
    </row>
    <row r="253" spans="1:11" x14ac:dyDescent="0.2">
      <c r="A253" s="111">
        <v>7</v>
      </c>
      <c r="B253" t="s">
        <v>1906</v>
      </c>
      <c r="C253" t="s">
        <v>2025</v>
      </c>
      <c r="D253">
        <v>500934</v>
      </c>
      <c r="E253" t="s">
        <v>140</v>
      </c>
      <c r="F253" t="s">
        <v>141</v>
      </c>
      <c r="G253" s="110">
        <v>547.36465999999996</v>
      </c>
      <c r="H253" s="110">
        <v>745.30161999999996</v>
      </c>
      <c r="I253" s="110">
        <v>920.33561999999995</v>
      </c>
      <c r="J253" s="110">
        <v>1100.73206</v>
      </c>
      <c r="K253" s="110">
        <v>1262.7738300000001</v>
      </c>
    </row>
    <row r="254" spans="1:11" x14ac:dyDescent="0.2">
      <c r="A254" s="111">
        <v>7</v>
      </c>
      <c r="B254" t="s">
        <v>1906</v>
      </c>
      <c r="C254" t="s">
        <v>2025</v>
      </c>
      <c r="D254">
        <v>500830</v>
      </c>
      <c r="E254" t="s">
        <v>144</v>
      </c>
      <c r="F254" t="s">
        <v>145</v>
      </c>
      <c r="G254" s="110">
        <v>737.36042999999995</v>
      </c>
      <c r="H254" s="110">
        <v>844.19275000000005</v>
      </c>
      <c r="I254" s="110">
        <v>939.70542999999998</v>
      </c>
      <c r="J254" s="110">
        <v>981.52125000000001</v>
      </c>
      <c r="K254" s="110">
        <v>1021.99317</v>
      </c>
    </row>
    <row r="255" spans="1:11" x14ac:dyDescent="0.2">
      <c r="A255" s="111">
        <v>7</v>
      </c>
      <c r="B255" t="s">
        <v>1906</v>
      </c>
      <c r="C255" t="s">
        <v>2025</v>
      </c>
      <c r="D255">
        <v>500695</v>
      </c>
      <c r="E255" t="s">
        <v>151</v>
      </c>
      <c r="F255" t="s">
        <v>152</v>
      </c>
      <c r="G255" s="110">
        <v>688.44547999999998</v>
      </c>
      <c r="H255" s="110">
        <v>755.71208999999999</v>
      </c>
      <c r="I255" s="110">
        <v>826.85590000000002</v>
      </c>
      <c r="J255" s="110">
        <v>878.51783999999998</v>
      </c>
      <c r="K255" s="110">
        <v>925.35637999999994</v>
      </c>
    </row>
    <row r="256" spans="1:11" x14ac:dyDescent="0.2">
      <c r="A256" s="111">
        <v>7</v>
      </c>
      <c r="B256" t="s">
        <v>1906</v>
      </c>
      <c r="C256" t="s">
        <v>2025</v>
      </c>
      <c r="D256">
        <v>500137</v>
      </c>
      <c r="E256" t="s">
        <v>201</v>
      </c>
      <c r="F256" t="s">
        <v>202</v>
      </c>
      <c r="G256" s="110">
        <v>433.72374000000002</v>
      </c>
      <c r="H256" s="110">
        <v>469.09795000000003</v>
      </c>
      <c r="I256" s="110">
        <v>502.94303000000002</v>
      </c>
      <c r="J256" s="110">
        <v>546.67111</v>
      </c>
      <c r="K256" s="110">
        <v>569.34388000000001</v>
      </c>
    </row>
    <row r="257" spans="1:11" x14ac:dyDescent="0.2">
      <c r="A257" s="111">
        <v>7</v>
      </c>
      <c r="B257" t="s">
        <v>1906</v>
      </c>
      <c r="C257" t="s">
        <v>2025</v>
      </c>
      <c r="D257">
        <v>500664</v>
      </c>
      <c r="E257" t="s">
        <v>205</v>
      </c>
      <c r="F257" t="s">
        <v>206</v>
      </c>
      <c r="G257" s="110">
        <v>391.08526000000001</v>
      </c>
      <c r="H257" s="110">
        <v>440.06038999999998</v>
      </c>
      <c r="I257" s="110">
        <v>482.28762999999998</v>
      </c>
      <c r="J257" s="110">
        <v>549.70858999999996</v>
      </c>
      <c r="K257" s="110">
        <v>562.17413999999997</v>
      </c>
    </row>
    <row r="258" spans="1:11" x14ac:dyDescent="0.2">
      <c r="A258" s="111">
        <v>7</v>
      </c>
      <c r="B258" t="s">
        <v>1906</v>
      </c>
      <c r="C258" t="s">
        <v>2025</v>
      </c>
      <c r="D258">
        <v>501217</v>
      </c>
      <c r="E258" t="s">
        <v>241</v>
      </c>
      <c r="F258" t="s">
        <v>242</v>
      </c>
      <c r="G258" s="110">
        <v>0</v>
      </c>
      <c r="H258" s="110">
        <v>0</v>
      </c>
      <c r="I258" s="110">
        <v>0</v>
      </c>
      <c r="J258" s="110">
        <v>32.055010000000003</v>
      </c>
      <c r="K258" s="110">
        <v>408.71359999999999</v>
      </c>
    </row>
    <row r="259" spans="1:11" x14ac:dyDescent="0.2">
      <c r="A259" s="111">
        <v>7</v>
      </c>
      <c r="B259" t="s">
        <v>1906</v>
      </c>
      <c r="C259" t="s">
        <v>2025</v>
      </c>
      <c r="D259">
        <v>500166</v>
      </c>
      <c r="E259" t="s">
        <v>297</v>
      </c>
      <c r="F259" t="s">
        <v>298</v>
      </c>
      <c r="G259" s="110">
        <v>213.29492999999999</v>
      </c>
      <c r="H259" s="110">
        <v>241.26655</v>
      </c>
      <c r="I259" s="110">
        <v>284.46949999999998</v>
      </c>
      <c r="J259" s="110">
        <v>273.67583000000002</v>
      </c>
      <c r="K259" s="110">
        <v>248.38288</v>
      </c>
    </row>
    <row r="260" spans="1:11" x14ac:dyDescent="0.2">
      <c r="A260" s="111">
        <v>7</v>
      </c>
      <c r="B260" t="s">
        <v>1906</v>
      </c>
      <c r="C260" t="s">
        <v>2025</v>
      </c>
      <c r="D260">
        <v>500026</v>
      </c>
      <c r="E260" t="s">
        <v>336</v>
      </c>
      <c r="F260" t="s">
        <v>337</v>
      </c>
      <c r="G260" s="110">
        <v>211.67606000000001</v>
      </c>
      <c r="H260" s="110">
        <v>205.93132</v>
      </c>
      <c r="I260" s="110">
        <v>196.60605000000001</v>
      </c>
      <c r="J260" s="110">
        <v>187.75657000000001</v>
      </c>
      <c r="K260" s="110">
        <v>181.08473000000001</v>
      </c>
    </row>
    <row r="261" spans="1:11" x14ac:dyDescent="0.2">
      <c r="A261" s="111">
        <v>7</v>
      </c>
      <c r="B261" t="s">
        <v>1906</v>
      </c>
      <c r="C261" t="s">
        <v>2025</v>
      </c>
      <c r="D261">
        <v>501135</v>
      </c>
      <c r="E261" t="s">
        <v>338</v>
      </c>
      <c r="F261" t="s">
        <v>339</v>
      </c>
      <c r="G261" s="110">
        <v>0</v>
      </c>
      <c r="H261" s="110">
        <v>9.28125</v>
      </c>
      <c r="I261" s="110">
        <v>47.354999999999997</v>
      </c>
      <c r="J261" s="110">
        <v>120.6972</v>
      </c>
      <c r="K261" s="110">
        <v>177.28579999999999</v>
      </c>
    </row>
    <row r="262" spans="1:11" x14ac:dyDescent="0.2">
      <c r="A262" s="111">
        <v>7</v>
      </c>
      <c r="B262" t="s">
        <v>1906</v>
      </c>
      <c r="C262" t="s">
        <v>2025</v>
      </c>
      <c r="D262">
        <v>501016</v>
      </c>
      <c r="E262" t="s">
        <v>342</v>
      </c>
      <c r="F262" t="s">
        <v>343</v>
      </c>
      <c r="G262" s="110">
        <v>110.14891</v>
      </c>
      <c r="H262" s="110">
        <v>139.19575</v>
      </c>
      <c r="I262" s="110">
        <v>158.81328999999999</v>
      </c>
      <c r="J262" s="110">
        <v>169.9871</v>
      </c>
      <c r="K262" s="110">
        <v>169.89812000000001</v>
      </c>
    </row>
    <row r="263" spans="1:11" x14ac:dyDescent="0.2">
      <c r="A263" s="111">
        <v>7</v>
      </c>
      <c r="B263" t="s">
        <v>1906</v>
      </c>
      <c r="C263" t="s">
        <v>2025</v>
      </c>
      <c r="D263">
        <v>500167</v>
      </c>
      <c r="E263" t="s">
        <v>348</v>
      </c>
      <c r="F263" t="s">
        <v>349</v>
      </c>
      <c r="G263" s="110">
        <v>215.58241000000001</v>
      </c>
      <c r="H263" s="110">
        <v>201.90629999999999</v>
      </c>
      <c r="I263" s="110">
        <v>186.39750000000001</v>
      </c>
      <c r="J263" s="110">
        <v>167.4049</v>
      </c>
      <c r="K263" s="110">
        <v>165.3552</v>
      </c>
    </row>
    <row r="264" spans="1:11" x14ac:dyDescent="0.2">
      <c r="A264" s="111">
        <v>7</v>
      </c>
      <c r="B264" t="s">
        <v>1906</v>
      </c>
      <c r="C264" t="s">
        <v>2025</v>
      </c>
      <c r="D264">
        <v>501194</v>
      </c>
      <c r="E264" t="s">
        <v>370</v>
      </c>
      <c r="F264" t="s">
        <v>371</v>
      </c>
      <c r="G264" s="110">
        <v>0</v>
      </c>
      <c r="H264" s="110">
        <v>0</v>
      </c>
      <c r="I264" s="110">
        <v>0</v>
      </c>
      <c r="J264" s="110">
        <v>48.782879999999999</v>
      </c>
      <c r="K264" s="110">
        <v>142.09163000000001</v>
      </c>
    </row>
    <row r="265" spans="1:11" x14ac:dyDescent="0.2">
      <c r="A265" s="111">
        <v>7</v>
      </c>
      <c r="B265" t="s">
        <v>1906</v>
      </c>
      <c r="C265" t="s">
        <v>2025</v>
      </c>
      <c r="D265">
        <v>501253</v>
      </c>
      <c r="E265" t="s">
        <v>384</v>
      </c>
      <c r="F265" t="s">
        <v>385</v>
      </c>
      <c r="G265" s="110">
        <v>0</v>
      </c>
      <c r="H265" s="110">
        <v>0</v>
      </c>
      <c r="I265" s="110">
        <v>0</v>
      </c>
      <c r="J265" s="110">
        <v>0</v>
      </c>
      <c r="K265" s="110">
        <v>129.08204000000001</v>
      </c>
    </row>
    <row r="266" spans="1:11" x14ac:dyDescent="0.2">
      <c r="A266" s="111">
        <v>7</v>
      </c>
      <c r="B266" t="s">
        <v>1906</v>
      </c>
      <c r="C266" t="s">
        <v>2025</v>
      </c>
      <c r="D266">
        <v>500027</v>
      </c>
      <c r="E266" t="s">
        <v>388</v>
      </c>
      <c r="F266" t="s">
        <v>389</v>
      </c>
      <c r="G266" s="110">
        <v>115.19728000000001</v>
      </c>
      <c r="H266" s="110">
        <v>112.32071999999999</v>
      </c>
      <c r="I266" s="110">
        <v>126.47108</v>
      </c>
      <c r="J266" s="110">
        <v>124.37217</v>
      </c>
      <c r="K266" s="110">
        <v>120.68516</v>
      </c>
    </row>
    <row r="267" spans="1:11" x14ac:dyDescent="0.2">
      <c r="A267" s="111">
        <v>7</v>
      </c>
      <c r="B267" t="s">
        <v>1906</v>
      </c>
      <c r="C267" t="s">
        <v>2025</v>
      </c>
      <c r="D267">
        <v>500186</v>
      </c>
      <c r="E267" t="s">
        <v>432</v>
      </c>
      <c r="F267" t="s">
        <v>433</v>
      </c>
      <c r="G267" s="110">
        <v>106.1135</v>
      </c>
      <c r="H267" s="110">
        <v>106.1109</v>
      </c>
      <c r="I267" s="110">
        <v>102.4572</v>
      </c>
      <c r="J267" s="110">
        <v>92.397750000000002</v>
      </c>
      <c r="K267" s="110">
        <v>80.992699999999999</v>
      </c>
    </row>
    <row r="268" spans="1:11" x14ac:dyDescent="0.2">
      <c r="A268" s="111">
        <v>7</v>
      </c>
      <c r="B268" t="s">
        <v>1906</v>
      </c>
      <c r="C268" t="s">
        <v>2025</v>
      </c>
      <c r="D268">
        <v>501197</v>
      </c>
      <c r="E268" t="s">
        <v>452</v>
      </c>
      <c r="F268" t="s">
        <v>453</v>
      </c>
      <c r="G268" s="110">
        <v>0</v>
      </c>
      <c r="H268" s="110">
        <v>0</v>
      </c>
      <c r="I268" s="110">
        <v>0</v>
      </c>
      <c r="J268" s="110">
        <v>16.033249999999999</v>
      </c>
      <c r="K268" s="110">
        <v>69.781660000000002</v>
      </c>
    </row>
    <row r="269" spans="1:11" x14ac:dyDescent="0.2">
      <c r="A269" s="111">
        <v>7</v>
      </c>
      <c r="B269" t="s">
        <v>1906</v>
      </c>
      <c r="C269" t="s">
        <v>2025</v>
      </c>
      <c r="D269">
        <v>502006</v>
      </c>
      <c r="E269" t="s">
        <v>538</v>
      </c>
      <c r="F269" t="s">
        <v>539</v>
      </c>
      <c r="G269" s="110">
        <v>0</v>
      </c>
      <c r="H269" s="110">
        <v>0</v>
      </c>
      <c r="I269" s="110">
        <v>0</v>
      </c>
      <c r="J269" s="110">
        <v>4.74</v>
      </c>
      <c r="K269" s="110">
        <v>26.040379999999999</v>
      </c>
    </row>
    <row r="270" spans="1:11" x14ac:dyDescent="0.2">
      <c r="A270" s="111">
        <v>7</v>
      </c>
      <c r="B270" t="s">
        <v>1906</v>
      </c>
      <c r="C270" t="s">
        <v>2025</v>
      </c>
      <c r="D270">
        <v>500116</v>
      </c>
      <c r="E270" t="s">
        <v>673</v>
      </c>
      <c r="F270" t="s">
        <v>674</v>
      </c>
      <c r="G270" s="110">
        <v>5.3675600000000001</v>
      </c>
      <c r="H270" s="110">
        <v>4.9706799999999998</v>
      </c>
      <c r="I270" s="110">
        <v>5.2879500000000004</v>
      </c>
      <c r="J270" s="110">
        <v>5.7343200000000003</v>
      </c>
      <c r="K270" s="110">
        <v>5.3954399999999998</v>
      </c>
    </row>
    <row r="271" spans="1:11" x14ac:dyDescent="0.2">
      <c r="A271" s="111">
        <v>7</v>
      </c>
      <c r="B271" t="s">
        <v>1906</v>
      </c>
      <c r="C271" t="s">
        <v>2025</v>
      </c>
      <c r="D271">
        <v>500755</v>
      </c>
      <c r="E271" t="s">
        <v>680</v>
      </c>
      <c r="F271" t="s">
        <v>681</v>
      </c>
      <c r="G271" s="110">
        <v>4.45275</v>
      </c>
      <c r="H271" s="110">
        <v>4.6027500000000003</v>
      </c>
      <c r="I271" s="110">
        <v>4.6777499999999996</v>
      </c>
      <c r="J271" s="110">
        <v>5.0782499999999997</v>
      </c>
      <c r="K271" s="110">
        <v>4.8769799999999996</v>
      </c>
    </row>
    <row r="272" spans="1:11" x14ac:dyDescent="0.2">
      <c r="A272" s="111">
        <v>7</v>
      </c>
      <c r="B272" t="s">
        <v>1906</v>
      </c>
      <c r="C272" t="s">
        <v>2025</v>
      </c>
      <c r="D272">
        <v>501137</v>
      </c>
      <c r="E272" t="s">
        <v>724</v>
      </c>
      <c r="F272" t="s">
        <v>725</v>
      </c>
      <c r="G272" s="110">
        <v>0</v>
      </c>
      <c r="H272" s="110">
        <v>1.3747499999999999</v>
      </c>
      <c r="I272" s="110">
        <v>2.5274999999999999</v>
      </c>
      <c r="J272" s="110">
        <v>2.1150000000000002</v>
      </c>
      <c r="K272" s="110">
        <v>2.1150000000000002</v>
      </c>
    </row>
    <row r="273" spans="1:11" x14ac:dyDescent="0.2">
      <c r="A273" s="111">
        <v>7</v>
      </c>
      <c r="B273" t="s">
        <v>1906</v>
      </c>
      <c r="C273" t="s">
        <v>2025</v>
      </c>
      <c r="D273">
        <v>500199</v>
      </c>
      <c r="E273" t="s">
        <v>750</v>
      </c>
      <c r="F273" t="s">
        <v>751</v>
      </c>
      <c r="G273" s="110">
        <v>2.0568</v>
      </c>
      <c r="H273" s="110">
        <v>1.6653</v>
      </c>
      <c r="I273" s="110">
        <v>1.5618000000000001</v>
      </c>
      <c r="J273" s="110">
        <v>1.6698</v>
      </c>
      <c r="K273" s="110">
        <v>1.464</v>
      </c>
    </row>
    <row r="274" spans="1:11" x14ac:dyDescent="0.2">
      <c r="A274" s="111">
        <v>7</v>
      </c>
      <c r="B274" t="s">
        <v>1906</v>
      </c>
      <c r="C274" t="s">
        <v>2026</v>
      </c>
      <c r="D274">
        <v>501169</v>
      </c>
      <c r="E274" t="s">
        <v>248</v>
      </c>
      <c r="F274" t="s">
        <v>249</v>
      </c>
      <c r="G274" s="110">
        <v>0</v>
      </c>
      <c r="H274" s="110">
        <v>0</v>
      </c>
      <c r="I274" s="110">
        <v>0</v>
      </c>
      <c r="J274" s="110">
        <v>183.00575000000001</v>
      </c>
      <c r="K274" s="110">
        <v>386.92250000000001</v>
      </c>
    </row>
    <row r="275" spans="1:11" x14ac:dyDescent="0.2">
      <c r="A275" s="111">
        <v>7</v>
      </c>
      <c r="B275" t="s">
        <v>1906</v>
      </c>
      <c r="C275" t="s">
        <v>2026</v>
      </c>
      <c r="D275">
        <v>501195</v>
      </c>
      <c r="E275" t="s">
        <v>584</v>
      </c>
      <c r="F275" t="s">
        <v>585</v>
      </c>
      <c r="G275" s="110">
        <v>0</v>
      </c>
      <c r="H275" s="110">
        <v>0</v>
      </c>
      <c r="I275" s="110">
        <v>0</v>
      </c>
      <c r="J275" s="110">
        <v>0</v>
      </c>
      <c r="K275" s="110">
        <v>15.957000000000001</v>
      </c>
    </row>
    <row r="276" spans="1:11" x14ac:dyDescent="0.2">
      <c r="A276" s="111">
        <v>7</v>
      </c>
      <c r="B276" t="s">
        <v>1906</v>
      </c>
      <c r="C276" t="s">
        <v>2026</v>
      </c>
      <c r="D276">
        <v>501196</v>
      </c>
      <c r="E276" t="s">
        <v>752</v>
      </c>
      <c r="F276" t="s">
        <v>753</v>
      </c>
      <c r="G276" s="110">
        <v>0</v>
      </c>
      <c r="H276" s="110">
        <v>0</v>
      </c>
      <c r="I276" s="110">
        <v>0</v>
      </c>
      <c r="J276" s="110">
        <v>0</v>
      </c>
      <c r="K276" s="110">
        <v>1.3140000000000001</v>
      </c>
    </row>
    <row r="277" spans="1:11" x14ac:dyDescent="0.2">
      <c r="A277" s="111">
        <v>8</v>
      </c>
      <c r="B277" t="s">
        <v>1912</v>
      </c>
      <c r="C277" t="s">
        <v>2025</v>
      </c>
      <c r="D277">
        <v>500221</v>
      </c>
      <c r="E277" t="s">
        <v>126</v>
      </c>
      <c r="F277" t="s">
        <v>127</v>
      </c>
      <c r="G277" s="110">
        <v>833.70518000000004</v>
      </c>
      <c r="H277" s="110">
        <v>918.60945999999899</v>
      </c>
      <c r="I277" s="110">
        <v>1084.99746</v>
      </c>
      <c r="J277" s="110">
        <v>1329.9733200000001</v>
      </c>
      <c r="K277" s="110">
        <v>1525.8499099999999</v>
      </c>
    </row>
    <row r="278" spans="1:11" x14ac:dyDescent="0.2">
      <c r="A278" s="111">
        <v>8</v>
      </c>
      <c r="B278" t="s">
        <v>1912</v>
      </c>
      <c r="C278" t="s">
        <v>2025</v>
      </c>
      <c r="D278">
        <v>500117</v>
      </c>
      <c r="E278" t="s">
        <v>146</v>
      </c>
      <c r="F278" t="s">
        <v>147</v>
      </c>
      <c r="G278" s="110">
        <v>776.31053999999995</v>
      </c>
      <c r="H278" s="110">
        <v>825.85412999999801</v>
      </c>
      <c r="I278" s="110">
        <v>854.92019000000005</v>
      </c>
      <c r="J278" s="110">
        <v>933.53774999999996</v>
      </c>
      <c r="K278" s="110">
        <v>1003.55704</v>
      </c>
    </row>
    <row r="279" spans="1:11" x14ac:dyDescent="0.2">
      <c r="A279" s="111">
        <v>8</v>
      </c>
      <c r="B279" t="s">
        <v>1912</v>
      </c>
      <c r="C279" t="s">
        <v>2025</v>
      </c>
      <c r="D279">
        <v>501000</v>
      </c>
      <c r="E279" t="s">
        <v>149</v>
      </c>
      <c r="F279" t="s">
        <v>150</v>
      </c>
      <c r="G279" s="110">
        <v>600.13809000000003</v>
      </c>
      <c r="H279" s="110">
        <v>676.72982999999999</v>
      </c>
      <c r="I279" s="110">
        <v>714.61627999999996</v>
      </c>
      <c r="J279" s="110">
        <v>871.97397999999998</v>
      </c>
      <c r="K279" s="110">
        <v>947.80843000000004</v>
      </c>
    </row>
    <row r="280" spans="1:11" x14ac:dyDescent="0.2">
      <c r="A280" s="111">
        <v>8</v>
      </c>
      <c r="B280" t="s">
        <v>1912</v>
      </c>
      <c r="C280" t="s">
        <v>2025</v>
      </c>
      <c r="D280">
        <v>500121</v>
      </c>
      <c r="E280" t="s">
        <v>163</v>
      </c>
      <c r="F280" t="s">
        <v>164</v>
      </c>
      <c r="G280" s="110">
        <v>519.42363</v>
      </c>
      <c r="H280" s="110">
        <v>576.27003000000002</v>
      </c>
      <c r="I280" s="110">
        <v>650.60757000000001</v>
      </c>
      <c r="J280" s="110">
        <v>723.80956000000003</v>
      </c>
      <c r="K280" s="110">
        <v>846.64329999999995</v>
      </c>
    </row>
    <row r="281" spans="1:11" x14ac:dyDescent="0.2">
      <c r="A281" s="111">
        <v>8</v>
      </c>
      <c r="B281" t="s">
        <v>1912</v>
      </c>
      <c r="C281" t="s">
        <v>2025</v>
      </c>
      <c r="D281">
        <v>500644</v>
      </c>
      <c r="E281" t="s">
        <v>193</v>
      </c>
      <c r="F281" t="s">
        <v>194</v>
      </c>
      <c r="G281" s="110">
        <v>372.17532999999997</v>
      </c>
      <c r="H281" s="110">
        <v>420.98054999999999</v>
      </c>
      <c r="I281" s="110">
        <v>474.70834000000002</v>
      </c>
      <c r="J281" s="110">
        <v>531.76864999999998</v>
      </c>
      <c r="K281" s="110">
        <v>607.19393000000002</v>
      </c>
    </row>
    <row r="282" spans="1:11" x14ac:dyDescent="0.2">
      <c r="A282" s="111">
        <v>8</v>
      </c>
      <c r="B282" t="s">
        <v>1912</v>
      </c>
      <c r="C282" t="s">
        <v>2025</v>
      </c>
      <c r="D282">
        <v>500122</v>
      </c>
      <c r="E282" t="s">
        <v>195</v>
      </c>
      <c r="F282" t="s">
        <v>196</v>
      </c>
      <c r="G282" s="110">
        <v>278.06634000000003</v>
      </c>
      <c r="H282" s="110">
        <v>354.64136999999999</v>
      </c>
      <c r="I282" s="110">
        <v>428.88440000000003</v>
      </c>
      <c r="J282" s="110">
        <v>517.04255999999998</v>
      </c>
      <c r="K282" s="110">
        <v>590.80029000000002</v>
      </c>
    </row>
    <row r="283" spans="1:11" x14ac:dyDescent="0.2">
      <c r="A283" s="111">
        <v>8</v>
      </c>
      <c r="B283" t="s">
        <v>1912</v>
      </c>
      <c r="C283" t="s">
        <v>2025</v>
      </c>
      <c r="D283">
        <v>500078</v>
      </c>
      <c r="E283" t="s">
        <v>203</v>
      </c>
      <c r="F283" t="s">
        <v>204</v>
      </c>
      <c r="G283" s="110">
        <v>299.80363999999997</v>
      </c>
      <c r="H283" s="110">
        <v>349.52519000000001</v>
      </c>
      <c r="I283" s="110">
        <v>391.74421999999998</v>
      </c>
      <c r="J283" s="110">
        <v>513.39711999999997</v>
      </c>
      <c r="K283" s="110">
        <v>568.14471000000003</v>
      </c>
    </row>
    <row r="284" spans="1:11" x14ac:dyDescent="0.2">
      <c r="A284" s="111">
        <v>8</v>
      </c>
      <c r="B284" t="s">
        <v>1912</v>
      </c>
      <c r="C284" t="s">
        <v>2025</v>
      </c>
      <c r="D284">
        <v>500181</v>
      </c>
      <c r="E284" t="s">
        <v>209</v>
      </c>
      <c r="F284" t="s">
        <v>210</v>
      </c>
      <c r="G284" s="110">
        <v>273.80779000000001</v>
      </c>
      <c r="H284" s="110">
        <v>332.39611000000002</v>
      </c>
      <c r="I284" s="110">
        <v>376.17795000000001</v>
      </c>
      <c r="J284" s="110">
        <v>456.62851999999998</v>
      </c>
      <c r="K284" s="110">
        <v>539.23680000000002</v>
      </c>
    </row>
    <row r="285" spans="1:11" x14ac:dyDescent="0.2">
      <c r="A285" s="111">
        <v>8</v>
      </c>
      <c r="B285" t="s">
        <v>1912</v>
      </c>
      <c r="C285" t="s">
        <v>2025</v>
      </c>
      <c r="D285">
        <v>500165</v>
      </c>
      <c r="E285" t="s">
        <v>211</v>
      </c>
      <c r="F285" t="s">
        <v>212</v>
      </c>
      <c r="G285" s="110">
        <v>345.57914</v>
      </c>
      <c r="H285" s="110">
        <v>355.85921000000002</v>
      </c>
      <c r="I285" s="110">
        <v>391.89183000000003</v>
      </c>
      <c r="J285" s="110">
        <v>419.08535999999998</v>
      </c>
      <c r="K285" s="110">
        <v>529.53098</v>
      </c>
    </row>
    <row r="286" spans="1:11" x14ac:dyDescent="0.2">
      <c r="A286" s="111">
        <v>8</v>
      </c>
      <c r="B286" t="s">
        <v>1912</v>
      </c>
      <c r="C286" t="s">
        <v>2025</v>
      </c>
      <c r="D286">
        <v>500073</v>
      </c>
      <c r="E286" t="s">
        <v>235</v>
      </c>
      <c r="F286" t="s">
        <v>236</v>
      </c>
      <c r="G286" s="110">
        <v>256.05133999999998</v>
      </c>
      <c r="H286" s="110">
        <v>281.53462999999999</v>
      </c>
      <c r="I286" s="110">
        <v>373.70197000000002</v>
      </c>
      <c r="J286" s="110">
        <v>412.19682</v>
      </c>
      <c r="K286" s="110">
        <v>429.02123</v>
      </c>
    </row>
    <row r="287" spans="1:11" x14ac:dyDescent="0.2">
      <c r="A287" s="111">
        <v>8</v>
      </c>
      <c r="B287" t="s">
        <v>1912</v>
      </c>
      <c r="C287" t="s">
        <v>2025</v>
      </c>
      <c r="D287">
        <v>500075</v>
      </c>
      <c r="E287" t="s">
        <v>250</v>
      </c>
      <c r="F287" t="s">
        <v>251</v>
      </c>
      <c r="G287" s="110">
        <v>210.52600000000001</v>
      </c>
      <c r="H287" s="110">
        <v>241.07513</v>
      </c>
      <c r="I287" s="110">
        <v>293.94540999999998</v>
      </c>
      <c r="J287" s="110">
        <v>352.29590999999999</v>
      </c>
      <c r="K287" s="110">
        <v>380.16752000000002</v>
      </c>
    </row>
    <row r="288" spans="1:11" x14ac:dyDescent="0.2">
      <c r="A288" s="111">
        <v>8</v>
      </c>
      <c r="B288" t="s">
        <v>1912</v>
      </c>
      <c r="C288" t="s">
        <v>2025</v>
      </c>
      <c r="D288">
        <v>501032</v>
      </c>
      <c r="E288" t="s">
        <v>254</v>
      </c>
      <c r="F288" t="s">
        <v>255</v>
      </c>
      <c r="G288" s="110">
        <v>153.22005999999999</v>
      </c>
      <c r="H288" s="110">
        <v>193.50165000000001</v>
      </c>
      <c r="I288" s="110">
        <v>265.77931000000001</v>
      </c>
      <c r="J288" s="110">
        <v>332.25763999999998</v>
      </c>
      <c r="K288" s="110">
        <v>373.70395000000002</v>
      </c>
    </row>
    <row r="289" spans="1:11" x14ac:dyDescent="0.2">
      <c r="A289" s="111">
        <v>8</v>
      </c>
      <c r="B289" t="s">
        <v>1912</v>
      </c>
      <c r="C289" t="s">
        <v>2025</v>
      </c>
      <c r="D289">
        <v>500079</v>
      </c>
      <c r="E289" t="s">
        <v>256</v>
      </c>
      <c r="F289" t="s">
        <v>257</v>
      </c>
      <c r="G289" s="110">
        <v>225.90061</v>
      </c>
      <c r="H289" s="110">
        <v>246.58535000000001</v>
      </c>
      <c r="I289" s="110">
        <v>290.27499</v>
      </c>
      <c r="J289" s="110">
        <v>340.99401999999998</v>
      </c>
      <c r="K289" s="110">
        <v>370.16883000000001</v>
      </c>
    </row>
    <row r="290" spans="1:11" x14ac:dyDescent="0.2">
      <c r="A290" s="111">
        <v>8</v>
      </c>
      <c r="B290" t="s">
        <v>1912</v>
      </c>
      <c r="C290" t="s">
        <v>2025</v>
      </c>
      <c r="D290">
        <v>500937</v>
      </c>
      <c r="E290" t="s">
        <v>269</v>
      </c>
      <c r="F290" t="s">
        <v>270</v>
      </c>
      <c r="G290" s="110">
        <v>148.86832999999999</v>
      </c>
      <c r="H290" s="110">
        <v>188.24260000000001</v>
      </c>
      <c r="I290" s="110">
        <v>223.00899999999999</v>
      </c>
      <c r="J290" s="110">
        <v>267.52501000000001</v>
      </c>
      <c r="K290" s="110">
        <v>311.32711</v>
      </c>
    </row>
    <row r="291" spans="1:11" x14ac:dyDescent="0.2">
      <c r="A291" s="111">
        <v>8</v>
      </c>
      <c r="B291" t="s">
        <v>1912</v>
      </c>
      <c r="C291" t="s">
        <v>2025</v>
      </c>
      <c r="D291">
        <v>500076</v>
      </c>
      <c r="E291" t="s">
        <v>279</v>
      </c>
      <c r="F291" t="s">
        <v>280</v>
      </c>
      <c r="G291" s="110">
        <v>173.64770999999999</v>
      </c>
      <c r="H291" s="110">
        <v>197.21054000000001</v>
      </c>
      <c r="I291" s="110">
        <v>229.34655000000001</v>
      </c>
      <c r="J291" s="110">
        <v>273.47690999999998</v>
      </c>
      <c r="K291" s="110">
        <v>306.19776000000002</v>
      </c>
    </row>
    <row r="292" spans="1:11" x14ac:dyDescent="0.2">
      <c r="A292" s="111">
        <v>8</v>
      </c>
      <c r="B292" t="s">
        <v>1912</v>
      </c>
      <c r="C292" t="s">
        <v>2025</v>
      </c>
      <c r="D292">
        <v>501020</v>
      </c>
      <c r="E292" t="s">
        <v>325</v>
      </c>
      <c r="F292" t="s">
        <v>326</v>
      </c>
      <c r="G292" s="110">
        <v>82.710499999999996</v>
      </c>
      <c r="H292" s="110">
        <v>108.76953</v>
      </c>
      <c r="I292" s="110">
        <v>137.79383000000001</v>
      </c>
      <c r="J292" s="110">
        <v>164.47640000000001</v>
      </c>
      <c r="K292" s="110">
        <v>194.38413</v>
      </c>
    </row>
    <row r="293" spans="1:11" x14ac:dyDescent="0.2">
      <c r="A293" s="111">
        <v>8</v>
      </c>
      <c r="B293" t="s">
        <v>1912</v>
      </c>
      <c r="C293" t="s">
        <v>2025</v>
      </c>
      <c r="D293">
        <v>500083</v>
      </c>
      <c r="E293" t="s">
        <v>329</v>
      </c>
      <c r="F293" t="s">
        <v>330</v>
      </c>
      <c r="G293" s="110">
        <v>106.10028</v>
      </c>
      <c r="H293" s="110">
        <v>120.29152999999999</v>
      </c>
      <c r="I293" s="110">
        <v>139.89447000000001</v>
      </c>
      <c r="J293" s="110">
        <v>161.52814000000001</v>
      </c>
      <c r="K293" s="110">
        <v>186.24250000000001</v>
      </c>
    </row>
    <row r="294" spans="1:11" x14ac:dyDescent="0.2">
      <c r="A294" s="111">
        <v>8</v>
      </c>
      <c r="B294" t="s">
        <v>1912</v>
      </c>
      <c r="C294" t="s">
        <v>2025</v>
      </c>
      <c r="D294">
        <v>500178</v>
      </c>
      <c r="E294" t="s">
        <v>340</v>
      </c>
      <c r="F294" t="s">
        <v>341</v>
      </c>
      <c r="G294" s="110">
        <v>101.31381</v>
      </c>
      <c r="H294" s="110">
        <v>115.79136</v>
      </c>
      <c r="I294" s="110">
        <v>131.56675999999999</v>
      </c>
      <c r="J294" s="110">
        <v>156.96335999999999</v>
      </c>
      <c r="K294" s="110">
        <v>174.65122</v>
      </c>
    </row>
    <row r="295" spans="1:11" x14ac:dyDescent="0.2">
      <c r="A295" s="111">
        <v>8</v>
      </c>
      <c r="B295" t="s">
        <v>1912</v>
      </c>
      <c r="C295" t="s">
        <v>2025</v>
      </c>
      <c r="D295">
        <v>501017</v>
      </c>
      <c r="E295" t="s">
        <v>358</v>
      </c>
      <c r="F295" t="s">
        <v>359</v>
      </c>
      <c r="G295" s="110">
        <v>63.203090000000003</v>
      </c>
      <c r="H295" s="110">
        <v>83.574290000000005</v>
      </c>
      <c r="I295" s="110">
        <v>106.482</v>
      </c>
      <c r="J295" s="110">
        <v>126.93071999999999</v>
      </c>
      <c r="K295" s="110">
        <v>156.6609</v>
      </c>
    </row>
    <row r="296" spans="1:11" x14ac:dyDescent="0.2">
      <c r="A296" s="111">
        <v>8</v>
      </c>
      <c r="B296" t="s">
        <v>1912</v>
      </c>
      <c r="C296" t="s">
        <v>2025</v>
      </c>
      <c r="D296">
        <v>500080</v>
      </c>
      <c r="E296" t="s">
        <v>366</v>
      </c>
      <c r="F296" t="s">
        <v>367</v>
      </c>
      <c r="G296" s="110">
        <v>81.706819999999993</v>
      </c>
      <c r="H296" s="110">
        <v>89.746009999999998</v>
      </c>
      <c r="I296" s="110">
        <v>101.23318</v>
      </c>
      <c r="J296" s="110">
        <v>129.67545000000001</v>
      </c>
      <c r="K296" s="110">
        <v>147.63972999999999</v>
      </c>
    </row>
    <row r="297" spans="1:11" x14ac:dyDescent="0.2">
      <c r="A297" s="111">
        <v>8</v>
      </c>
      <c r="B297" t="s">
        <v>1912</v>
      </c>
      <c r="C297" t="s">
        <v>2025</v>
      </c>
      <c r="D297">
        <v>501019</v>
      </c>
      <c r="E297" t="s">
        <v>390</v>
      </c>
      <c r="F297" t="s">
        <v>391</v>
      </c>
      <c r="G297" s="110">
        <v>35.390659999999997</v>
      </c>
      <c r="H297" s="110">
        <v>45.854179999999999</v>
      </c>
      <c r="I297" s="110">
        <v>58.151499999999999</v>
      </c>
      <c r="J297" s="110">
        <v>89.802350000000004</v>
      </c>
      <c r="K297" s="110">
        <v>118.88652</v>
      </c>
    </row>
    <row r="298" spans="1:11" x14ac:dyDescent="0.2">
      <c r="A298" s="111">
        <v>8</v>
      </c>
      <c r="B298" t="s">
        <v>1912</v>
      </c>
      <c r="C298" t="s">
        <v>2025</v>
      </c>
      <c r="D298">
        <v>500029</v>
      </c>
      <c r="E298" t="s">
        <v>409</v>
      </c>
      <c r="F298" t="s">
        <v>410</v>
      </c>
      <c r="G298" s="110">
        <v>41.969349999999999</v>
      </c>
      <c r="H298" s="110">
        <v>66.816010000000006</v>
      </c>
      <c r="I298" s="110">
        <v>89.270250000000004</v>
      </c>
      <c r="J298" s="110">
        <v>91.85284</v>
      </c>
      <c r="K298" s="110">
        <v>93.202910000000003</v>
      </c>
    </row>
    <row r="299" spans="1:11" x14ac:dyDescent="0.2">
      <c r="A299" s="111">
        <v>8</v>
      </c>
      <c r="B299" t="s">
        <v>1912</v>
      </c>
      <c r="C299" t="s">
        <v>2025</v>
      </c>
      <c r="D299">
        <v>500858</v>
      </c>
      <c r="E299" t="s">
        <v>417</v>
      </c>
      <c r="F299" t="s">
        <v>418</v>
      </c>
      <c r="G299" s="110">
        <v>41.138100000000001</v>
      </c>
      <c r="H299" s="110">
        <v>49.754510000000003</v>
      </c>
      <c r="I299" s="110">
        <v>62.96555</v>
      </c>
      <c r="J299" s="110">
        <v>69.625649999999993</v>
      </c>
      <c r="K299" s="110">
        <v>89.949470000000005</v>
      </c>
    </row>
    <row r="300" spans="1:11" x14ac:dyDescent="0.2">
      <c r="A300" s="111">
        <v>8</v>
      </c>
      <c r="B300" t="s">
        <v>1912</v>
      </c>
      <c r="C300" t="s">
        <v>2025</v>
      </c>
      <c r="D300">
        <v>500074</v>
      </c>
      <c r="E300" t="s">
        <v>419</v>
      </c>
      <c r="F300" t="s">
        <v>420</v>
      </c>
      <c r="G300" s="110">
        <v>55.785609999999998</v>
      </c>
      <c r="H300" s="110">
        <v>62.644179999999999</v>
      </c>
      <c r="I300" s="110">
        <v>71.532229999999998</v>
      </c>
      <c r="J300" s="110">
        <v>86.967399999999998</v>
      </c>
      <c r="K300" s="110">
        <v>89.75985</v>
      </c>
    </row>
    <row r="301" spans="1:11" x14ac:dyDescent="0.2">
      <c r="A301" s="111">
        <v>8</v>
      </c>
      <c r="B301" t="s">
        <v>1912</v>
      </c>
      <c r="C301" t="s">
        <v>2025</v>
      </c>
      <c r="D301">
        <v>500843</v>
      </c>
      <c r="E301" t="s">
        <v>424</v>
      </c>
      <c r="F301" t="s">
        <v>425</v>
      </c>
      <c r="G301" s="110">
        <v>58.211930000000002</v>
      </c>
      <c r="H301" s="110">
        <v>62.443519999999999</v>
      </c>
      <c r="I301" s="110">
        <v>64.966049999999996</v>
      </c>
      <c r="J301" s="110">
        <v>82.076440000000005</v>
      </c>
      <c r="K301" s="110">
        <v>86.590689999999995</v>
      </c>
    </row>
    <row r="302" spans="1:11" x14ac:dyDescent="0.2">
      <c r="A302" s="111">
        <v>8</v>
      </c>
      <c r="B302" t="s">
        <v>1912</v>
      </c>
      <c r="C302" t="s">
        <v>2025</v>
      </c>
      <c r="D302">
        <v>501018</v>
      </c>
      <c r="E302" t="s">
        <v>430</v>
      </c>
      <c r="F302" t="s">
        <v>431</v>
      </c>
      <c r="G302" s="110">
        <v>25.857749999999999</v>
      </c>
      <c r="H302" s="110">
        <v>35.51885</v>
      </c>
      <c r="I302" s="110">
        <v>45.265459999999997</v>
      </c>
      <c r="J302" s="110">
        <v>58.704210000000003</v>
      </c>
      <c r="K302" s="110">
        <v>81.489900000000006</v>
      </c>
    </row>
    <row r="303" spans="1:11" x14ac:dyDescent="0.2">
      <c r="A303" s="111">
        <v>8</v>
      </c>
      <c r="B303" t="s">
        <v>1912</v>
      </c>
      <c r="C303" t="s">
        <v>2025</v>
      </c>
      <c r="D303">
        <v>500081</v>
      </c>
      <c r="E303" t="s">
        <v>454</v>
      </c>
      <c r="F303" t="s">
        <v>455</v>
      </c>
      <c r="G303" s="110">
        <v>41.825200000000002</v>
      </c>
      <c r="H303" s="110">
        <v>45.446109999999997</v>
      </c>
      <c r="I303" s="110">
        <v>49.311369999999997</v>
      </c>
      <c r="J303" s="110">
        <v>62.886029999999998</v>
      </c>
      <c r="K303" s="110">
        <v>69.516540000000006</v>
      </c>
    </row>
    <row r="304" spans="1:11" x14ac:dyDescent="0.2">
      <c r="A304" s="111">
        <v>8</v>
      </c>
      <c r="B304" t="s">
        <v>1912</v>
      </c>
      <c r="C304" t="s">
        <v>2025</v>
      </c>
      <c r="D304">
        <v>500111</v>
      </c>
      <c r="E304" t="s">
        <v>458</v>
      </c>
      <c r="F304" t="s">
        <v>459</v>
      </c>
      <c r="G304" s="110">
        <v>46.171329999999998</v>
      </c>
      <c r="H304" s="110">
        <v>53.932180000000002</v>
      </c>
      <c r="I304" s="110">
        <v>56.855319999999999</v>
      </c>
      <c r="J304" s="110">
        <v>58.716889999999999</v>
      </c>
      <c r="K304" s="110">
        <v>66.49588</v>
      </c>
    </row>
    <row r="305" spans="1:11" x14ac:dyDescent="0.2">
      <c r="A305" s="111">
        <v>8</v>
      </c>
      <c r="B305" t="s">
        <v>1912</v>
      </c>
      <c r="C305" t="s">
        <v>2025</v>
      </c>
      <c r="D305">
        <v>500082</v>
      </c>
      <c r="E305" t="s">
        <v>470</v>
      </c>
      <c r="F305" t="s">
        <v>471</v>
      </c>
      <c r="G305" s="110">
        <v>33.413029999999999</v>
      </c>
      <c r="H305" s="110">
        <v>25.954809999999998</v>
      </c>
      <c r="I305" s="110">
        <v>25.777899999999999</v>
      </c>
      <c r="J305" s="110">
        <v>49.300400000000003</v>
      </c>
      <c r="K305" s="110">
        <v>58.836910000000003</v>
      </c>
    </row>
    <row r="306" spans="1:11" x14ac:dyDescent="0.2">
      <c r="A306" s="111">
        <v>8</v>
      </c>
      <c r="B306" t="s">
        <v>1912</v>
      </c>
      <c r="C306" t="s">
        <v>2025</v>
      </c>
      <c r="D306">
        <v>500077</v>
      </c>
      <c r="E306" t="s">
        <v>488</v>
      </c>
      <c r="F306" t="s">
        <v>489</v>
      </c>
      <c r="G306" s="110">
        <v>31.977219999999999</v>
      </c>
      <c r="H306" s="110">
        <v>29.575749999999999</v>
      </c>
      <c r="I306" s="110">
        <v>36.034550000000003</v>
      </c>
      <c r="J306" s="110">
        <v>50.508150000000001</v>
      </c>
      <c r="K306" s="110">
        <v>48.610329999999998</v>
      </c>
    </row>
    <row r="307" spans="1:11" x14ac:dyDescent="0.2">
      <c r="A307" s="111">
        <v>8</v>
      </c>
      <c r="B307" t="s">
        <v>1912</v>
      </c>
      <c r="C307" t="s">
        <v>2025</v>
      </c>
      <c r="D307">
        <v>500006</v>
      </c>
      <c r="E307" t="s">
        <v>514</v>
      </c>
      <c r="F307" t="s">
        <v>515</v>
      </c>
      <c r="G307" s="110">
        <v>31.230879999999999</v>
      </c>
      <c r="H307" s="110">
        <v>33.129300000000001</v>
      </c>
      <c r="I307" s="110">
        <v>35.686169999999997</v>
      </c>
      <c r="J307" s="110">
        <v>38.229880000000001</v>
      </c>
      <c r="K307" s="110">
        <v>35.868040000000001</v>
      </c>
    </row>
    <row r="308" spans="1:11" x14ac:dyDescent="0.2">
      <c r="A308" s="111">
        <v>8</v>
      </c>
      <c r="B308" t="s">
        <v>1912</v>
      </c>
      <c r="C308" t="s">
        <v>2025</v>
      </c>
      <c r="D308">
        <v>500857</v>
      </c>
      <c r="E308" t="s">
        <v>518</v>
      </c>
      <c r="F308" t="s">
        <v>519</v>
      </c>
      <c r="G308" s="110">
        <v>17.985320000000002</v>
      </c>
      <c r="H308" s="110">
        <v>26.174019999999999</v>
      </c>
      <c r="I308" s="110">
        <v>26.635660000000001</v>
      </c>
      <c r="J308" s="110">
        <v>35.948160000000001</v>
      </c>
      <c r="K308" s="110">
        <v>34.899610000000003</v>
      </c>
    </row>
    <row r="309" spans="1:11" x14ac:dyDescent="0.2">
      <c r="A309" s="111">
        <v>8</v>
      </c>
      <c r="B309" t="s">
        <v>1912</v>
      </c>
      <c r="C309" t="s">
        <v>2025</v>
      </c>
      <c r="D309">
        <v>500084</v>
      </c>
      <c r="E309" t="s">
        <v>536</v>
      </c>
      <c r="F309" t="s">
        <v>537</v>
      </c>
      <c r="G309" s="110">
        <v>12.22176</v>
      </c>
      <c r="H309" s="110">
        <v>13.699159999999999</v>
      </c>
      <c r="I309" s="110">
        <v>17.63569</v>
      </c>
      <c r="J309" s="110">
        <v>26.935700000000001</v>
      </c>
      <c r="K309" s="110">
        <v>27.575559999999999</v>
      </c>
    </row>
    <row r="310" spans="1:11" x14ac:dyDescent="0.2">
      <c r="A310" s="111">
        <v>8</v>
      </c>
      <c r="B310" t="s">
        <v>1912</v>
      </c>
      <c r="C310" t="s">
        <v>2025</v>
      </c>
      <c r="D310">
        <v>500700</v>
      </c>
      <c r="E310" t="s">
        <v>639</v>
      </c>
      <c r="F310" t="s">
        <v>640</v>
      </c>
      <c r="G310" s="110">
        <v>2.4289999999999998</v>
      </c>
      <c r="H310" s="110">
        <v>5.7904999999999998</v>
      </c>
      <c r="I310" s="110">
        <v>4.2075800000000001</v>
      </c>
      <c r="J310" s="110">
        <v>8.9276499999999999</v>
      </c>
      <c r="K310" s="110">
        <v>7.4013</v>
      </c>
    </row>
    <row r="311" spans="1:11" x14ac:dyDescent="0.2">
      <c r="A311" s="111">
        <v>8</v>
      </c>
      <c r="B311" t="s">
        <v>1912</v>
      </c>
      <c r="C311" t="s">
        <v>2025</v>
      </c>
      <c r="D311">
        <v>500311</v>
      </c>
      <c r="E311" t="s">
        <v>649</v>
      </c>
      <c r="F311" t="s">
        <v>650</v>
      </c>
      <c r="G311" s="110">
        <v>3.4049999999999998</v>
      </c>
      <c r="H311" s="110">
        <v>2.9723000000000002</v>
      </c>
      <c r="I311" s="110">
        <v>3.3856000000000002</v>
      </c>
      <c r="J311" s="110">
        <v>4.2949000000000002</v>
      </c>
      <c r="K311" s="110">
        <v>6.5045000000000002</v>
      </c>
    </row>
    <row r="312" spans="1:11" x14ac:dyDescent="0.2">
      <c r="A312" s="111">
        <v>8</v>
      </c>
      <c r="B312" t="s">
        <v>1912</v>
      </c>
      <c r="C312" t="s">
        <v>2025</v>
      </c>
      <c r="D312">
        <v>500018</v>
      </c>
      <c r="E312" t="s">
        <v>684</v>
      </c>
      <c r="F312" t="s">
        <v>685</v>
      </c>
      <c r="G312" s="110">
        <v>3.64114</v>
      </c>
      <c r="H312" s="110">
        <v>3.7710400000000002</v>
      </c>
      <c r="I312" s="110">
        <v>3.6979600000000001</v>
      </c>
      <c r="J312" s="110">
        <v>3.98108</v>
      </c>
      <c r="K312" s="110">
        <v>3.8378999999999999</v>
      </c>
    </row>
    <row r="313" spans="1:11" x14ac:dyDescent="0.2">
      <c r="A313" s="111">
        <v>8</v>
      </c>
      <c r="B313" t="s">
        <v>1912</v>
      </c>
      <c r="C313" t="s">
        <v>2026</v>
      </c>
      <c r="D313">
        <v>501036</v>
      </c>
      <c r="E313" t="s">
        <v>155</v>
      </c>
      <c r="F313" t="s">
        <v>156</v>
      </c>
      <c r="G313" s="110">
        <v>259.52692000000002</v>
      </c>
      <c r="H313" s="110">
        <v>455.22183999999999</v>
      </c>
      <c r="I313" s="110">
        <v>552.48459000000003</v>
      </c>
      <c r="J313" s="110">
        <v>738.78413999999998</v>
      </c>
      <c r="K313" s="110">
        <v>860.70141999999998</v>
      </c>
    </row>
    <row r="314" spans="1:11" x14ac:dyDescent="0.2">
      <c r="A314" s="111">
        <v>8</v>
      </c>
      <c r="B314" t="s">
        <v>1912</v>
      </c>
      <c r="C314" t="s">
        <v>2026</v>
      </c>
      <c r="D314">
        <v>501021</v>
      </c>
      <c r="E314" t="s">
        <v>293</v>
      </c>
      <c r="F314" t="s">
        <v>294</v>
      </c>
      <c r="G314" s="110">
        <v>198.75622000000001</v>
      </c>
      <c r="H314" s="110">
        <v>244.06746999999999</v>
      </c>
      <c r="I314" s="110">
        <v>219.62531999999999</v>
      </c>
      <c r="J314" s="110">
        <v>230.4375</v>
      </c>
      <c r="K314" s="110">
        <v>261.24793</v>
      </c>
    </row>
    <row r="315" spans="1:11" x14ac:dyDescent="0.2">
      <c r="A315" s="111">
        <v>8</v>
      </c>
      <c r="B315" t="s">
        <v>1912</v>
      </c>
      <c r="C315" t="s">
        <v>2026</v>
      </c>
      <c r="D315">
        <v>500105</v>
      </c>
      <c r="E315" t="s">
        <v>305</v>
      </c>
      <c r="F315" t="s">
        <v>306</v>
      </c>
      <c r="G315" s="110">
        <v>178.21985000000001</v>
      </c>
      <c r="H315" s="110">
        <v>184.16046</v>
      </c>
      <c r="I315" s="110">
        <v>185.21037000000001</v>
      </c>
      <c r="J315" s="110">
        <v>211.89070000000001</v>
      </c>
      <c r="K315" s="110">
        <v>227.28102000000001</v>
      </c>
    </row>
    <row r="316" spans="1:11" x14ac:dyDescent="0.2">
      <c r="A316" s="111">
        <v>9</v>
      </c>
      <c r="B316" t="s">
        <v>1920</v>
      </c>
      <c r="C316" t="s">
        <v>2025</v>
      </c>
      <c r="D316">
        <v>500118</v>
      </c>
      <c r="E316" t="s">
        <v>124</v>
      </c>
      <c r="F316" t="s">
        <v>125</v>
      </c>
      <c r="G316" s="110">
        <v>963.50464999999997</v>
      </c>
      <c r="H316" s="110">
        <v>1071.8412800000001</v>
      </c>
      <c r="I316" s="110">
        <v>1246.78063</v>
      </c>
      <c r="J316" s="110">
        <v>1441.7230099999999</v>
      </c>
      <c r="K316" s="110">
        <v>1555.89265</v>
      </c>
    </row>
    <row r="317" spans="1:11" x14ac:dyDescent="0.2">
      <c r="A317" s="111">
        <v>9</v>
      </c>
      <c r="B317" t="s">
        <v>1920</v>
      </c>
      <c r="C317" t="s">
        <v>2025</v>
      </c>
      <c r="D317">
        <v>500751</v>
      </c>
      <c r="E317" t="s">
        <v>138</v>
      </c>
      <c r="F317" t="s">
        <v>139</v>
      </c>
      <c r="G317" s="110">
        <v>659.12007000000006</v>
      </c>
      <c r="H317" s="110">
        <v>814.47059999999999</v>
      </c>
      <c r="I317" s="110">
        <v>926.90764000000001</v>
      </c>
      <c r="J317" s="110">
        <v>1100.17689</v>
      </c>
      <c r="K317" s="110">
        <v>1268.02421</v>
      </c>
    </row>
    <row r="318" spans="1:11" x14ac:dyDescent="0.2">
      <c r="A318" s="111">
        <v>9</v>
      </c>
      <c r="B318" t="s">
        <v>1920</v>
      </c>
      <c r="C318" t="s">
        <v>2025</v>
      </c>
      <c r="D318">
        <v>500187</v>
      </c>
      <c r="E318" t="s">
        <v>142</v>
      </c>
      <c r="F318" t="s">
        <v>143</v>
      </c>
      <c r="G318" s="110">
        <v>741.83734000000004</v>
      </c>
      <c r="H318" s="110">
        <v>874.57975999999996</v>
      </c>
      <c r="I318" s="110">
        <v>952.69985999999994</v>
      </c>
      <c r="J318" s="110">
        <v>1045.07807</v>
      </c>
      <c r="K318" s="110">
        <v>1173.0082199999999</v>
      </c>
    </row>
    <row r="319" spans="1:11" x14ac:dyDescent="0.2">
      <c r="A319" s="111">
        <v>9</v>
      </c>
      <c r="B319" t="s">
        <v>1920</v>
      </c>
      <c r="C319" t="s">
        <v>2025</v>
      </c>
      <c r="D319">
        <v>501034</v>
      </c>
      <c r="E319" t="s">
        <v>161</v>
      </c>
      <c r="F319" t="s">
        <v>162</v>
      </c>
      <c r="G319" s="110">
        <v>242.7688</v>
      </c>
      <c r="H319" s="110">
        <v>394.82490000000001</v>
      </c>
      <c r="I319" s="110">
        <v>528.10996999999998</v>
      </c>
      <c r="J319" s="110">
        <v>690.94689000000005</v>
      </c>
      <c r="K319" s="110">
        <v>848.76009999999997</v>
      </c>
    </row>
    <row r="320" spans="1:11" x14ac:dyDescent="0.2">
      <c r="A320" s="111">
        <v>9</v>
      </c>
      <c r="B320" t="s">
        <v>1920</v>
      </c>
      <c r="C320" t="s">
        <v>2025</v>
      </c>
      <c r="D320">
        <v>500936</v>
      </c>
      <c r="E320" t="s">
        <v>191</v>
      </c>
      <c r="F320" t="s">
        <v>192</v>
      </c>
      <c r="G320" s="110">
        <v>269.20765999999998</v>
      </c>
      <c r="H320" s="110">
        <v>336.30790000000002</v>
      </c>
      <c r="I320" s="110">
        <v>403.82267999999999</v>
      </c>
      <c r="J320" s="110">
        <v>507.72363000000001</v>
      </c>
      <c r="K320" s="110">
        <v>619.00048000000004</v>
      </c>
    </row>
    <row r="321" spans="1:11" x14ac:dyDescent="0.2">
      <c r="A321" s="111">
        <v>9</v>
      </c>
      <c r="B321" t="s">
        <v>1920</v>
      </c>
      <c r="C321" t="s">
        <v>2025</v>
      </c>
      <c r="D321">
        <v>500023</v>
      </c>
      <c r="E321" t="s">
        <v>199</v>
      </c>
      <c r="F321" t="s">
        <v>200</v>
      </c>
      <c r="G321" s="110">
        <v>416.49115999999998</v>
      </c>
      <c r="H321" s="110">
        <v>454.23671999999999</v>
      </c>
      <c r="I321" s="110">
        <v>493.52456999999998</v>
      </c>
      <c r="J321" s="110">
        <v>524.07682</v>
      </c>
      <c r="K321" s="110">
        <v>573.07977000000005</v>
      </c>
    </row>
    <row r="322" spans="1:11" x14ac:dyDescent="0.2">
      <c r="A322" s="111">
        <v>9</v>
      </c>
      <c r="B322" t="s">
        <v>1920</v>
      </c>
      <c r="C322" t="s">
        <v>2025</v>
      </c>
      <c r="D322">
        <v>500694</v>
      </c>
      <c r="E322" t="s">
        <v>215</v>
      </c>
      <c r="F322" t="s">
        <v>216</v>
      </c>
      <c r="G322" s="110">
        <v>224.56952999999999</v>
      </c>
      <c r="H322" s="110">
        <v>300.35165999999998</v>
      </c>
      <c r="I322" s="110">
        <v>355.45949000000002</v>
      </c>
      <c r="J322" s="110">
        <v>452.9058</v>
      </c>
      <c r="K322" s="110">
        <v>516.00626</v>
      </c>
    </row>
    <row r="323" spans="1:11" x14ac:dyDescent="0.2">
      <c r="A323" s="111">
        <v>9</v>
      </c>
      <c r="B323" t="s">
        <v>1920</v>
      </c>
      <c r="C323" t="s">
        <v>2025</v>
      </c>
      <c r="D323">
        <v>500945</v>
      </c>
      <c r="E323" t="s">
        <v>252</v>
      </c>
      <c r="F323" t="s">
        <v>253</v>
      </c>
      <c r="G323" s="110">
        <v>156.15635</v>
      </c>
      <c r="H323" s="110">
        <v>206.6661</v>
      </c>
      <c r="I323" s="110">
        <v>254.46673000000001</v>
      </c>
      <c r="J323" s="110">
        <v>303.62639000000001</v>
      </c>
      <c r="K323" s="110">
        <v>379.15535</v>
      </c>
    </row>
    <row r="324" spans="1:11" x14ac:dyDescent="0.2">
      <c r="A324" s="111">
        <v>9</v>
      </c>
      <c r="B324" t="s">
        <v>1920</v>
      </c>
      <c r="C324" t="s">
        <v>2025</v>
      </c>
      <c r="D324">
        <v>500661</v>
      </c>
      <c r="E324" t="s">
        <v>265</v>
      </c>
      <c r="F324" t="s">
        <v>266</v>
      </c>
      <c r="G324" s="110">
        <v>218.59906000000001</v>
      </c>
      <c r="H324" s="110">
        <v>250.17671000000001</v>
      </c>
      <c r="I324" s="110">
        <v>280.77773000000002</v>
      </c>
      <c r="J324" s="110">
        <v>297.58564000000001</v>
      </c>
      <c r="K324" s="110">
        <v>329.06794000000002</v>
      </c>
    </row>
    <row r="325" spans="1:11" x14ac:dyDescent="0.2">
      <c r="A325" s="111">
        <v>9</v>
      </c>
      <c r="B325" t="s">
        <v>1920</v>
      </c>
      <c r="C325" t="s">
        <v>2025</v>
      </c>
      <c r="D325">
        <v>500935</v>
      </c>
      <c r="E325" t="s">
        <v>271</v>
      </c>
      <c r="F325" t="s">
        <v>272</v>
      </c>
      <c r="G325" s="110">
        <v>135.93980999999999</v>
      </c>
      <c r="H325" s="110">
        <v>176.39762999999999</v>
      </c>
      <c r="I325" s="110">
        <v>234.71316999999999</v>
      </c>
      <c r="J325" s="110">
        <v>265.55284999999998</v>
      </c>
      <c r="K325" s="110">
        <v>309.42698000000001</v>
      </c>
    </row>
    <row r="326" spans="1:11" x14ac:dyDescent="0.2">
      <c r="A326" s="111">
        <v>9</v>
      </c>
      <c r="B326" t="s">
        <v>1920</v>
      </c>
      <c r="C326" t="s">
        <v>2025</v>
      </c>
      <c r="D326">
        <v>500944</v>
      </c>
      <c r="E326" t="s">
        <v>313</v>
      </c>
      <c r="F326" t="s">
        <v>314</v>
      </c>
      <c r="G326" s="110">
        <v>123.80371</v>
      </c>
      <c r="H326" s="110">
        <v>144.97971999999999</v>
      </c>
      <c r="I326" s="110">
        <v>168.67814999999999</v>
      </c>
      <c r="J326" s="110">
        <v>194.2646</v>
      </c>
      <c r="K326" s="110">
        <v>211.8493</v>
      </c>
    </row>
    <row r="327" spans="1:11" x14ac:dyDescent="0.2">
      <c r="A327" s="111">
        <v>9</v>
      </c>
      <c r="B327" t="s">
        <v>1920</v>
      </c>
      <c r="C327" t="s">
        <v>2025</v>
      </c>
      <c r="D327">
        <v>500320</v>
      </c>
      <c r="E327" t="s">
        <v>317</v>
      </c>
      <c r="F327" t="s">
        <v>318</v>
      </c>
      <c r="G327" s="110">
        <v>0</v>
      </c>
      <c r="H327" s="110">
        <v>1.452</v>
      </c>
      <c r="I327" s="110">
        <v>51.854849999999999</v>
      </c>
      <c r="J327" s="110">
        <v>115.1375</v>
      </c>
      <c r="K327" s="110">
        <v>211.16857999999999</v>
      </c>
    </row>
    <row r="328" spans="1:11" x14ac:dyDescent="0.2">
      <c r="A328" s="111">
        <v>9</v>
      </c>
      <c r="B328" t="s">
        <v>1920</v>
      </c>
      <c r="C328" t="s">
        <v>2025</v>
      </c>
      <c r="D328">
        <v>500099</v>
      </c>
      <c r="E328" t="s">
        <v>362</v>
      </c>
      <c r="F328" t="s">
        <v>363</v>
      </c>
      <c r="G328" s="110">
        <v>187.37611000000001</v>
      </c>
      <c r="H328" s="110">
        <v>169.95039</v>
      </c>
      <c r="I328" s="110">
        <v>168.93567999999999</v>
      </c>
      <c r="J328" s="110">
        <v>163.80618000000001</v>
      </c>
      <c r="K328" s="110">
        <v>151.03653</v>
      </c>
    </row>
    <row r="329" spans="1:11" x14ac:dyDescent="0.2">
      <c r="A329" s="111">
        <v>9</v>
      </c>
      <c r="B329" t="s">
        <v>1920</v>
      </c>
      <c r="C329" t="s">
        <v>2025</v>
      </c>
      <c r="D329">
        <v>500098</v>
      </c>
      <c r="E329" t="s">
        <v>374</v>
      </c>
      <c r="F329" t="s">
        <v>375</v>
      </c>
      <c r="G329" s="110">
        <v>123.10885</v>
      </c>
      <c r="H329" s="110">
        <v>115.36830999999999</v>
      </c>
      <c r="I329" s="110">
        <v>125.51891000000001</v>
      </c>
      <c r="J329" s="110">
        <v>128.21212</v>
      </c>
      <c r="K329" s="110">
        <v>138.99109999999999</v>
      </c>
    </row>
    <row r="330" spans="1:11" x14ac:dyDescent="0.2">
      <c r="A330" s="111">
        <v>9</v>
      </c>
      <c r="B330" t="s">
        <v>1920</v>
      </c>
      <c r="C330" t="s">
        <v>2025</v>
      </c>
      <c r="D330">
        <v>500020</v>
      </c>
      <c r="E330" t="s">
        <v>407</v>
      </c>
      <c r="F330" t="s">
        <v>408</v>
      </c>
      <c r="G330" s="110">
        <v>129.16703000000001</v>
      </c>
      <c r="H330" s="110">
        <v>122.42873</v>
      </c>
      <c r="I330" s="110">
        <v>103.36998</v>
      </c>
      <c r="J330" s="110">
        <v>99.214699999999993</v>
      </c>
      <c r="K330" s="110">
        <v>93.518500000000003</v>
      </c>
    </row>
    <row r="331" spans="1:11" x14ac:dyDescent="0.2">
      <c r="A331" s="111">
        <v>9</v>
      </c>
      <c r="B331" t="s">
        <v>1920</v>
      </c>
      <c r="C331" t="s">
        <v>2025</v>
      </c>
      <c r="D331">
        <v>501134</v>
      </c>
      <c r="E331" t="s">
        <v>438</v>
      </c>
      <c r="F331" t="s">
        <v>439</v>
      </c>
      <c r="G331" s="110">
        <v>0</v>
      </c>
      <c r="H331" s="110">
        <v>3.1671</v>
      </c>
      <c r="I331" s="110">
        <v>35.292200000000001</v>
      </c>
      <c r="J331" s="110">
        <v>58.844650000000001</v>
      </c>
      <c r="K331" s="110">
        <v>79.743650000000002</v>
      </c>
    </row>
    <row r="332" spans="1:11" x14ac:dyDescent="0.2">
      <c r="A332" s="111">
        <v>9</v>
      </c>
      <c r="B332" t="s">
        <v>1920</v>
      </c>
      <c r="C332" t="s">
        <v>2025</v>
      </c>
      <c r="D332">
        <v>500304</v>
      </c>
      <c r="E332" t="s">
        <v>510</v>
      </c>
      <c r="F332" t="s">
        <v>511</v>
      </c>
      <c r="G332" s="110">
        <v>36.698999999999998</v>
      </c>
      <c r="H332" s="110">
        <v>36.628900000000002</v>
      </c>
      <c r="I332" s="110">
        <v>37.670349999999999</v>
      </c>
      <c r="J332" s="110">
        <v>37.951329999999999</v>
      </c>
      <c r="K332" s="110">
        <v>37.184440000000002</v>
      </c>
    </row>
    <row r="333" spans="1:11" x14ac:dyDescent="0.2">
      <c r="A333" s="111">
        <v>9</v>
      </c>
      <c r="B333" t="s">
        <v>1920</v>
      </c>
      <c r="C333" t="s">
        <v>2025</v>
      </c>
      <c r="D333">
        <v>500303</v>
      </c>
      <c r="E333" t="s">
        <v>582</v>
      </c>
      <c r="F333" t="s">
        <v>583</v>
      </c>
      <c r="G333" s="110">
        <v>14.161</v>
      </c>
      <c r="H333" s="110">
        <v>15.3134</v>
      </c>
      <c r="I333" s="110">
        <v>15.26965</v>
      </c>
      <c r="J333" s="110">
        <v>16.108609999999999</v>
      </c>
      <c r="K333" s="110">
        <v>16.133859999999999</v>
      </c>
    </row>
    <row r="334" spans="1:11" x14ac:dyDescent="0.2">
      <c r="A334" s="111">
        <v>9</v>
      </c>
      <c r="B334" t="s">
        <v>1920</v>
      </c>
      <c r="C334" t="s">
        <v>2025</v>
      </c>
      <c r="D334">
        <v>500873</v>
      </c>
      <c r="E334" t="s">
        <v>592</v>
      </c>
      <c r="F334" t="s">
        <v>593</v>
      </c>
      <c r="G334" s="110">
        <v>7.7654699999999997</v>
      </c>
      <c r="H334" s="110">
        <v>9.9316700000000004</v>
      </c>
      <c r="I334" s="110">
        <v>10.31869</v>
      </c>
      <c r="J334" s="110">
        <v>13.2339</v>
      </c>
      <c r="K334" s="110">
        <v>13.102499999999999</v>
      </c>
    </row>
    <row r="335" spans="1:11" x14ac:dyDescent="0.2">
      <c r="A335" s="111">
        <v>9</v>
      </c>
      <c r="B335" t="s">
        <v>1920</v>
      </c>
      <c r="C335" t="s">
        <v>2025</v>
      </c>
      <c r="D335">
        <v>500984</v>
      </c>
      <c r="E335" t="s">
        <v>653</v>
      </c>
      <c r="F335" t="s">
        <v>654</v>
      </c>
      <c r="G335" s="110">
        <v>4.5359999999999996</v>
      </c>
      <c r="H335" s="110">
        <v>4.9139999999999997</v>
      </c>
      <c r="I335" s="110">
        <v>5.2919999999999998</v>
      </c>
      <c r="J335" s="110">
        <v>5.7869999999999999</v>
      </c>
      <c r="K335" s="110">
        <v>6.4109999999999996</v>
      </c>
    </row>
    <row r="336" spans="1:11" x14ac:dyDescent="0.2">
      <c r="A336" s="111">
        <v>9</v>
      </c>
      <c r="B336" t="s">
        <v>1920</v>
      </c>
      <c r="C336" t="s">
        <v>2025</v>
      </c>
      <c r="D336">
        <v>500985</v>
      </c>
      <c r="E336" t="s">
        <v>659</v>
      </c>
      <c r="F336" t="s">
        <v>660</v>
      </c>
      <c r="G336" s="110">
        <v>3.948</v>
      </c>
      <c r="H336" s="110">
        <v>4.2</v>
      </c>
      <c r="I336" s="110">
        <v>4.0039999999999996</v>
      </c>
      <c r="J336" s="110">
        <v>4.5359999999999996</v>
      </c>
      <c r="K336" s="110">
        <v>6.2279999999999998</v>
      </c>
    </row>
    <row r="337" spans="1:11" x14ac:dyDescent="0.2">
      <c r="A337" s="111">
        <v>9</v>
      </c>
      <c r="B337" t="s">
        <v>1920</v>
      </c>
      <c r="C337" t="s">
        <v>2025</v>
      </c>
      <c r="D337">
        <v>500204</v>
      </c>
      <c r="E337" t="s">
        <v>694</v>
      </c>
      <c r="F337" t="s">
        <v>695</v>
      </c>
      <c r="G337" s="110">
        <v>2.9220000000000002</v>
      </c>
      <c r="H337" s="110">
        <v>2.802</v>
      </c>
      <c r="I337" s="110">
        <v>3.1619999999999999</v>
      </c>
      <c r="J337" s="110">
        <v>3.0895000000000001</v>
      </c>
      <c r="K337" s="110">
        <v>3.3635000000000002</v>
      </c>
    </row>
    <row r="338" spans="1:11" x14ac:dyDescent="0.2">
      <c r="A338" s="111">
        <v>9</v>
      </c>
      <c r="B338" t="s">
        <v>1920</v>
      </c>
      <c r="C338" t="s">
        <v>2025</v>
      </c>
      <c r="D338">
        <v>500618</v>
      </c>
      <c r="E338" t="s">
        <v>740</v>
      </c>
      <c r="F338" t="s">
        <v>741</v>
      </c>
      <c r="G338" s="110">
        <v>0.80025000000000002</v>
      </c>
      <c r="H338" s="110">
        <v>0.82499999999999996</v>
      </c>
      <c r="I338" s="110">
        <v>1.1187</v>
      </c>
      <c r="J338" s="110">
        <v>1.5845</v>
      </c>
      <c r="K338" s="110">
        <v>1.6932</v>
      </c>
    </row>
    <row r="339" spans="1:11" x14ac:dyDescent="0.2">
      <c r="A339" s="111">
        <v>9</v>
      </c>
      <c r="B339" t="s">
        <v>1920</v>
      </c>
      <c r="C339" t="s">
        <v>2025</v>
      </c>
      <c r="D339">
        <v>502003</v>
      </c>
      <c r="E339" t="s">
        <v>748</v>
      </c>
      <c r="F339" t="s">
        <v>749</v>
      </c>
      <c r="G339" s="110">
        <v>0</v>
      </c>
      <c r="H339" s="110">
        <v>0</v>
      </c>
      <c r="I339" s="110">
        <v>0</v>
      </c>
      <c r="J339" s="110">
        <v>0.14280000000000001</v>
      </c>
      <c r="K339" s="110">
        <v>1.4994000000000001</v>
      </c>
    </row>
    <row r="340" spans="1:11" x14ac:dyDescent="0.2">
      <c r="A340" s="111">
        <v>10</v>
      </c>
      <c r="B340" t="s">
        <v>1925</v>
      </c>
      <c r="C340" t="s">
        <v>2025</v>
      </c>
      <c r="D340">
        <v>500129</v>
      </c>
      <c r="E340" t="s">
        <v>116</v>
      </c>
      <c r="F340" t="s">
        <v>117</v>
      </c>
      <c r="G340" s="110">
        <v>1010.49762</v>
      </c>
      <c r="H340" s="110">
        <v>1192.63868</v>
      </c>
      <c r="I340" s="110">
        <v>1367.1229900000001</v>
      </c>
      <c r="J340" s="110">
        <v>1553.35365</v>
      </c>
      <c r="K340" s="110">
        <v>1691.0028400000001</v>
      </c>
    </row>
    <row r="341" spans="1:11" x14ac:dyDescent="0.2">
      <c r="A341" s="111">
        <v>10</v>
      </c>
      <c r="B341" t="s">
        <v>1925</v>
      </c>
      <c r="C341" t="s">
        <v>2025</v>
      </c>
      <c r="D341">
        <v>500663</v>
      </c>
      <c r="E341" t="s">
        <v>159</v>
      </c>
      <c r="F341" t="s">
        <v>160</v>
      </c>
      <c r="G341" s="110">
        <v>406.30590000000001</v>
      </c>
      <c r="H341" s="110">
        <v>475.64604000000003</v>
      </c>
      <c r="I341" s="110">
        <v>538.53206</v>
      </c>
      <c r="J341" s="110">
        <v>619.40075000000002</v>
      </c>
      <c r="K341" s="110">
        <v>851.05559000000005</v>
      </c>
    </row>
    <row r="342" spans="1:11" x14ac:dyDescent="0.2">
      <c r="A342" s="111">
        <v>10</v>
      </c>
      <c r="B342" t="s">
        <v>1925</v>
      </c>
      <c r="C342" t="s">
        <v>2025</v>
      </c>
      <c r="D342">
        <v>500040</v>
      </c>
      <c r="E342" t="s">
        <v>229</v>
      </c>
      <c r="F342" t="s">
        <v>230</v>
      </c>
      <c r="G342" s="110">
        <v>264.32204999999999</v>
      </c>
      <c r="H342" s="110">
        <v>304.98163</v>
      </c>
      <c r="I342" s="110">
        <v>347.30858000000001</v>
      </c>
      <c r="J342" s="110">
        <v>396.16341</v>
      </c>
      <c r="K342" s="110">
        <v>460.96663999999998</v>
      </c>
    </row>
    <row r="343" spans="1:11" x14ac:dyDescent="0.2">
      <c r="A343" s="111">
        <v>10</v>
      </c>
      <c r="B343" t="s">
        <v>1925</v>
      </c>
      <c r="C343" t="s">
        <v>2025</v>
      </c>
      <c r="D343">
        <v>500753</v>
      </c>
      <c r="E343" t="s">
        <v>237</v>
      </c>
      <c r="F343" t="s">
        <v>238</v>
      </c>
      <c r="G343" s="110">
        <v>231.44578999999999</v>
      </c>
      <c r="H343" s="110">
        <v>250.86617000000001</v>
      </c>
      <c r="I343" s="110">
        <v>313.05471</v>
      </c>
      <c r="J343" s="110">
        <v>382.48061000000001</v>
      </c>
      <c r="K343" s="110">
        <v>423.39071000000001</v>
      </c>
    </row>
    <row r="344" spans="1:11" x14ac:dyDescent="0.2">
      <c r="A344" s="111">
        <v>10</v>
      </c>
      <c r="B344" t="s">
        <v>1925</v>
      </c>
      <c r="C344" t="s">
        <v>2025</v>
      </c>
      <c r="D344">
        <v>500128</v>
      </c>
      <c r="E344" t="s">
        <v>299</v>
      </c>
      <c r="F344" t="s">
        <v>300</v>
      </c>
      <c r="G344" s="110">
        <v>175.38856000000001</v>
      </c>
      <c r="H344" s="110">
        <v>192.60220000000001</v>
      </c>
      <c r="I344" s="110">
        <v>205.41113000000001</v>
      </c>
      <c r="J344" s="110">
        <v>229.80001999999999</v>
      </c>
      <c r="K344" s="110">
        <v>243.51436000000001</v>
      </c>
    </row>
    <row r="345" spans="1:11" x14ac:dyDescent="0.2">
      <c r="A345" s="111">
        <v>10</v>
      </c>
      <c r="B345" t="s">
        <v>1925</v>
      </c>
      <c r="C345" t="s">
        <v>2025</v>
      </c>
      <c r="D345">
        <v>500307</v>
      </c>
      <c r="E345" t="s">
        <v>526</v>
      </c>
      <c r="F345" t="s">
        <v>527</v>
      </c>
      <c r="G345" s="110">
        <v>32.122999999999998</v>
      </c>
      <c r="H345" s="110">
        <v>31.873799999999999</v>
      </c>
      <c r="I345" s="110">
        <v>30.986249999999998</v>
      </c>
      <c r="J345" s="110">
        <v>32.155200000000001</v>
      </c>
      <c r="K345" s="110">
        <v>32.31785</v>
      </c>
    </row>
    <row r="346" spans="1:11" x14ac:dyDescent="0.2">
      <c r="A346" s="111">
        <v>10</v>
      </c>
      <c r="B346" t="s">
        <v>1925</v>
      </c>
      <c r="C346" t="s">
        <v>2025</v>
      </c>
      <c r="D346">
        <v>500306</v>
      </c>
      <c r="E346" t="s">
        <v>542</v>
      </c>
      <c r="F346" t="s">
        <v>543</v>
      </c>
      <c r="G346" s="110">
        <v>27.9314</v>
      </c>
      <c r="H346" s="110">
        <v>25.975200000000001</v>
      </c>
      <c r="I346" s="110">
        <v>25.0505</v>
      </c>
      <c r="J346" s="110">
        <v>25.859449999999999</v>
      </c>
      <c r="K346" s="110">
        <v>25.843050000000002</v>
      </c>
    </row>
    <row r="347" spans="1:11" x14ac:dyDescent="0.2">
      <c r="A347" s="111">
        <v>10</v>
      </c>
      <c r="B347" t="s">
        <v>1925</v>
      </c>
      <c r="C347" t="s">
        <v>2025</v>
      </c>
      <c r="D347">
        <v>500943</v>
      </c>
      <c r="E347" t="s">
        <v>552</v>
      </c>
      <c r="F347" t="s">
        <v>553</v>
      </c>
      <c r="G347" s="110">
        <v>17.64594</v>
      </c>
      <c r="H347" s="110">
        <v>20.726939999999999</v>
      </c>
      <c r="I347" s="110">
        <v>20.255040000000001</v>
      </c>
      <c r="J347" s="110">
        <v>22.029540000000001</v>
      </c>
      <c r="K347" s="110">
        <v>22.910039999999999</v>
      </c>
    </row>
    <row r="348" spans="1:11" x14ac:dyDescent="0.2">
      <c r="A348" s="111">
        <v>10</v>
      </c>
      <c r="B348" t="s">
        <v>1925</v>
      </c>
      <c r="C348" t="s">
        <v>2025</v>
      </c>
      <c r="D348">
        <v>500043</v>
      </c>
      <c r="E348" t="s">
        <v>560</v>
      </c>
      <c r="F348" t="s">
        <v>561</v>
      </c>
      <c r="G348" s="110">
        <v>13.75848</v>
      </c>
      <c r="H348" s="110">
        <v>15.301410000000001</v>
      </c>
      <c r="I348" s="110">
        <v>17.00177</v>
      </c>
      <c r="J348" s="110">
        <v>19.083960000000001</v>
      </c>
      <c r="K348" s="110">
        <v>21.601680000000002</v>
      </c>
    </row>
    <row r="349" spans="1:11" x14ac:dyDescent="0.2">
      <c r="A349" s="111">
        <v>10</v>
      </c>
      <c r="B349" t="s">
        <v>1925</v>
      </c>
      <c r="C349" t="s">
        <v>2025</v>
      </c>
      <c r="D349">
        <v>501237</v>
      </c>
      <c r="E349" t="s">
        <v>604</v>
      </c>
      <c r="F349" t="s">
        <v>605</v>
      </c>
      <c r="G349" s="110">
        <v>0</v>
      </c>
      <c r="H349" s="110">
        <v>0</v>
      </c>
      <c r="I349" s="110">
        <v>0</v>
      </c>
      <c r="J349" s="110">
        <v>0</v>
      </c>
      <c r="K349" s="110">
        <v>10.574999999999999</v>
      </c>
    </row>
    <row r="350" spans="1:11" x14ac:dyDescent="0.2">
      <c r="A350" s="111">
        <v>10</v>
      </c>
      <c r="B350" t="s">
        <v>1925</v>
      </c>
      <c r="C350" t="s">
        <v>2025</v>
      </c>
      <c r="D350">
        <v>500793</v>
      </c>
      <c r="E350" t="s">
        <v>610</v>
      </c>
      <c r="F350" t="s">
        <v>611</v>
      </c>
      <c r="G350" s="110">
        <v>0</v>
      </c>
      <c r="H350" s="110">
        <v>0</v>
      </c>
      <c r="I350" s="110">
        <v>0.70199999999999996</v>
      </c>
      <c r="J350" s="110">
        <v>3.5325000000000002</v>
      </c>
      <c r="K350" s="110">
        <v>9.6860199999999992</v>
      </c>
    </row>
    <row r="351" spans="1:11" x14ac:dyDescent="0.2">
      <c r="A351" s="111">
        <v>10</v>
      </c>
      <c r="B351" t="s">
        <v>1925</v>
      </c>
      <c r="C351" t="s">
        <v>2025</v>
      </c>
      <c r="D351">
        <v>500723</v>
      </c>
      <c r="E351" t="s">
        <v>657</v>
      </c>
      <c r="F351" t="s">
        <v>658</v>
      </c>
      <c r="G351" s="110">
        <v>14.06368</v>
      </c>
      <c r="H351" s="110">
        <v>6.1367700000000003</v>
      </c>
      <c r="I351" s="110">
        <v>5.01</v>
      </c>
      <c r="J351" s="110">
        <v>8.4719999999999995</v>
      </c>
      <c r="K351" s="110">
        <v>6.33</v>
      </c>
    </row>
    <row r="352" spans="1:11" x14ac:dyDescent="0.2">
      <c r="A352" s="111">
        <v>10</v>
      </c>
      <c r="B352" t="s">
        <v>1925</v>
      </c>
      <c r="C352" t="s">
        <v>2025</v>
      </c>
      <c r="D352">
        <v>500844</v>
      </c>
      <c r="E352" t="s">
        <v>669</v>
      </c>
      <c r="F352" t="s">
        <v>670</v>
      </c>
      <c r="G352" s="110">
        <v>2.4103599999999998</v>
      </c>
      <c r="H352" s="110">
        <v>2.5708799999999998</v>
      </c>
      <c r="I352" s="110">
        <v>3.3268800000000001</v>
      </c>
      <c r="J352" s="110">
        <v>5.30844</v>
      </c>
      <c r="K352" s="110">
        <v>5.5911600000000004</v>
      </c>
    </row>
    <row r="353" spans="1:11" x14ac:dyDescent="0.2">
      <c r="A353" s="111">
        <v>10</v>
      </c>
      <c r="B353" t="s">
        <v>1925</v>
      </c>
      <c r="C353" t="s">
        <v>2025</v>
      </c>
      <c r="D353">
        <v>500207</v>
      </c>
      <c r="E353" t="s">
        <v>742</v>
      </c>
      <c r="F353" t="s">
        <v>743</v>
      </c>
      <c r="G353" s="110">
        <v>1.3520000000000001</v>
      </c>
      <c r="H353" s="110">
        <v>1.1839999999999999</v>
      </c>
      <c r="I353" s="110">
        <v>1.32</v>
      </c>
      <c r="J353" s="110">
        <v>1.3935</v>
      </c>
      <c r="K353" s="110">
        <v>1.6785000000000001</v>
      </c>
    </row>
    <row r="354" spans="1:11" x14ac:dyDescent="0.2">
      <c r="A354" s="111">
        <v>10</v>
      </c>
      <c r="B354" t="s">
        <v>1925</v>
      </c>
      <c r="C354" t="s">
        <v>2026</v>
      </c>
      <c r="D354">
        <v>500947</v>
      </c>
      <c r="E354" t="s">
        <v>165</v>
      </c>
      <c r="F354" t="s">
        <v>166</v>
      </c>
      <c r="G354" s="110">
        <v>496.22755999999998</v>
      </c>
      <c r="H354" s="110">
        <v>530.78841</v>
      </c>
      <c r="I354" s="110">
        <v>636.73267999999996</v>
      </c>
      <c r="J354" s="110">
        <v>695.99906999999996</v>
      </c>
      <c r="K354" s="110">
        <v>833.67737</v>
      </c>
    </row>
    <row r="355" spans="1:11" x14ac:dyDescent="0.2">
      <c r="A355" s="111">
        <v>11</v>
      </c>
      <c r="B355" t="s">
        <v>68</v>
      </c>
      <c r="C355" t="s">
        <v>2025</v>
      </c>
      <c r="D355">
        <v>501175</v>
      </c>
      <c r="E355" t="s">
        <v>157</v>
      </c>
      <c r="F355" t="s">
        <v>158</v>
      </c>
      <c r="G355" s="110">
        <v>0</v>
      </c>
      <c r="H355" s="110">
        <v>0</v>
      </c>
      <c r="I355" s="110">
        <v>0</v>
      </c>
      <c r="J355" s="110">
        <v>587.05965000000003</v>
      </c>
      <c r="K355" s="110">
        <v>859.08608000000004</v>
      </c>
    </row>
    <row r="356" spans="1:11" x14ac:dyDescent="0.2">
      <c r="A356" s="111">
        <v>11</v>
      </c>
      <c r="B356" t="s">
        <v>68</v>
      </c>
      <c r="C356" t="s">
        <v>2025</v>
      </c>
      <c r="D356">
        <v>500153</v>
      </c>
      <c r="E356" t="s">
        <v>219</v>
      </c>
      <c r="F356" t="s">
        <v>220</v>
      </c>
      <c r="G356" s="110">
        <v>261.62750999999997</v>
      </c>
      <c r="H356" s="110">
        <v>270.37150000000003</v>
      </c>
      <c r="I356" s="110">
        <v>305.41198000000003</v>
      </c>
      <c r="J356" s="110">
        <v>348.81966999999997</v>
      </c>
      <c r="K356" s="110">
        <v>501.94171</v>
      </c>
    </row>
    <row r="357" spans="1:11" x14ac:dyDescent="0.2">
      <c r="A357" s="111">
        <v>11</v>
      </c>
      <c r="B357" t="s">
        <v>68</v>
      </c>
      <c r="C357" t="s">
        <v>2025</v>
      </c>
      <c r="D357">
        <v>500842</v>
      </c>
      <c r="E357" t="s">
        <v>281</v>
      </c>
      <c r="F357" t="s">
        <v>282</v>
      </c>
      <c r="G357" s="110">
        <v>134.42662000000001</v>
      </c>
      <c r="H357" s="110">
        <v>167.00402</v>
      </c>
      <c r="I357" s="110">
        <v>194.75494</v>
      </c>
      <c r="J357" s="110">
        <v>267.85379999999998</v>
      </c>
      <c r="K357" s="110">
        <v>305.38094999999998</v>
      </c>
    </row>
    <row r="358" spans="1:11" x14ac:dyDescent="0.2">
      <c r="A358" s="111">
        <v>11</v>
      </c>
      <c r="B358" t="s">
        <v>68</v>
      </c>
      <c r="C358" t="s">
        <v>2025</v>
      </c>
      <c r="D358">
        <v>500749</v>
      </c>
      <c r="E358" t="s">
        <v>382</v>
      </c>
      <c r="F358" t="s">
        <v>383</v>
      </c>
      <c r="G358" s="110">
        <v>62.397480000000002</v>
      </c>
      <c r="H358" s="110">
        <v>69.376549999999995</v>
      </c>
      <c r="I358" s="110">
        <v>87.397329999999997</v>
      </c>
      <c r="J358" s="110">
        <v>101.75721</v>
      </c>
      <c r="K358" s="110">
        <v>132.09738999999999</v>
      </c>
    </row>
    <row r="359" spans="1:11" x14ac:dyDescent="0.2">
      <c r="A359" s="111">
        <v>11</v>
      </c>
      <c r="B359" t="s">
        <v>68</v>
      </c>
      <c r="C359" t="s">
        <v>2025</v>
      </c>
      <c r="D359">
        <v>500092</v>
      </c>
      <c r="E359" t="s">
        <v>496</v>
      </c>
      <c r="F359" t="s">
        <v>497</v>
      </c>
      <c r="G359" s="110">
        <v>725.95533</v>
      </c>
      <c r="H359" s="110">
        <v>724.82106999999996</v>
      </c>
      <c r="I359" s="110">
        <v>759.89115000000004</v>
      </c>
      <c r="J359" s="110">
        <v>226.13240999999999</v>
      </c>
      <c r="K359" s="110">
        <v>42.321060000000003</v>
      </c>
    </row>
    <row r="360" spans="1:11" x14ac:dyDescent="0.2">
      <c r="A360" s="111">
        <v>11</v>
      </c>
      <c r="B360" t="s">
        <v>68</v>
      </c>
      <c r="C360" t="s">
        <v>2025</v>
      </c>
      <c r="D360">
        <v>501174</v>
      </c>
      <c r="E360" t="s">
        <v>524</v>
      </c>
      <c r="F360" t="s">
        <v>525</v>
      </c>
      <c r="G360" s="110">
        <v>0</v>
      </c>
      <c r="H360" s="110">
        <v>0</v>
      </c>
      <c r="I360" s="110">
        <v>0</v>
      </c>
      <c r="J360" s="110">
        <v>7.7469999999999999</v>
      </c>
      <c r="K360" s="110">
        <v>33.19135</v>
      </c>
    </row>
    <row r="361" spans="1:11" x14ac:dyDescent="0.2">
      <c r="A361" s="111">
        <v>11</v>
      </c>
      <c r="B361" t="s">
        <v>68</v>
      </c>
      <c r="C361" t="s">
        <v>2025</v>
      </c>
      <c r="D361">
        <v>500042</v>
      </c>
      <c r="E361" t="s">
        <v>635</v>
      </c>
      <c r="F361" t="s">
        <v>636</v>
      </c>
      <c r="G361" s="110">
        <v>5.4746100000000002</v>
      </c>
      <c r="H361" s="110">
        <v>5.6668700000000003</v>
      </c>
      <c r="I361" s="110">
        <v>5.5167999999999999</v>
      </c>
      <c r="J361" s="110">
        <v>6.35975</v>
      </c>
      <c r="K361" s="110">
        <v>7.4188599999999996</v>
      </c>
    </row>
    <row r="362" spans="1:11" x14ac:dyDescent="0.2">
      <c r="A362" s="111">
        <v>11</v>
      </c>
      <c r="B362" t="s">
        <v>68</v>
      </c>
      <c r="C362" t="s">
        <v>2025</v>
      </c>
      <c r="D362">
        <v>500310</v>
      </c>
      <c r="E362" t="s">
        <v>710</v>
      </c>
      <c r="F362" t="s">
        <v>711</v>
      </c>
      <c r="G362" s="110">
        <v>5.79</v>
      </c>
      <c r="H362" s="110">
        <v>3.5615999999999999</v>
      </c>
      <c r="I362" s="110">
        <v>3.1215999999999999</v>
      </c>
      <c r="J362" s="110">
        <v>3.5424000000000002</v>
      </c>
      <c r="K362" s="110">
        <v>2.512</v>
      </c>
    </row>
    <row r="363" spans="1:11" x14ac:dyDescent="0.2">
      <c r="A363" s="111">
        <v>11</v>
      </c>
      <c r="B363" t="s">
        <v>68</v>
      </c>
      <c r="C363" t="s">
        <v>2025</v>
      </c>
      <c r="D363">
        <v>502010</v>
      </c>
      <c r="E363" t="s">
        <v>722</v>
      </c>
      <c r="F363" t="s">
        <v>723</v>
      </c>
      <c r="G363" s="110">
        <v>0</v>
      </c>
      <c r="H363" s="110">
        <v>0</v>
      </c>
      <c r="I363" s="110">
        <v>0</v>
      </c>
      <c r="J363" s="110">
        <v>0</v>
      </c>
      <c r="K363" s="110">
        <v>2.1240000000000001</v>
      </c>
    </row>
    <row r="364" spans="1:11" x14ac:dyDescent="0.2">
      <c r="A364" s="111">
        <v>11</v>
      </c>
      <c r="B364" t="s">
        <v>68</v>
      </c>
      <c r="C364" t="s">
        <v>2026</v>
      </c>
      <c r="D364">
        <v>501176</v>
      </c>
      <c r="E364" t="s">
        <v>108</v>
      </c>
      <c r="F364" t="s">
        <v>109</v>
      </c>
      <c r="G364" s="110">
        <v>0</v>
      </c>
      <c r="H364" s="110">
        <v>0</v>
      </c>
      <c r="I364" s="110">
        <v>0</v>
      </c>
      <c r="J364" s="110">
        <v>760.45052999999996</v>
      </c>
      <c r="K364" s="110">
        <v>1782.8614500000001</v>
      </c>
    </row>
    <row r="365" spans="1:11" x14ac:dyDescent="0.2">
      <c r="A365" s="111">
        <v>11</v>
      </c>
      <c r="B365" t="s">
        <v>68</v>
      </c>
      <c r="C365" t="s">
        <v>2026</v>
      </c>
      <c r="D365">
        <v>500634</v>
      </c>
      <c r="E365" t="s">
        <v>405</v>
      </c>
      <c r="F365" t="s">
        <v>406</v>
      </c>
      <c r="G365" s="110">
        <v>837.30541000000005</v>
      </c>
      <c r="H365" s="110">
        <v>945.30900999999994</v>
      </c>
      <c r="I365" s="110">
        <v>1107.6989799999999</v>
      </c>
      <c r="J365" s="110">
        <v>531.08750999999995</v>
      </c>
      <c r="K365" s="110">
        <v>95.686899999999994</v>
      </c>
    </row>
    <row r="366" spans="1:11" x14ac:dyDescent="0.2">
      <c r="A366" s="111">
        <v>12</v>
      </c>
      <c r="B366" t="s">
        <v>1934</v>
      </c>
      <c r="C366" t="s">
        <v>2025</v>
      </c>
      <c r="D366">
        <v>500174</v>
      </c>
      <c r="E366" t="s">
        <v>80</v>
      </c>
      <c r="F366" t="s">
        <v>81</v>
      </c>
      <c r="G366" s="110">
        <v>4955.2406600000004</v>
      </c>
      <c r="H366" s="110">
        <v>5378.7075000000004</v>
      </c>
      <c r="I366" s="110">
        <v>5527.5736999999999</v>
      </c>
      <c r="J366" s="110">
        <v>6076.0186800000001</v>
      </c>
      <c r="K366" s="110">
        <v>6348.7568700000002</v>
      </c>
    </row>
    <row r="367" spans="1:11" x14ac:dyDescent="0.2">
      <c r="A367" s="111">
        <v>12</v>
      </c>
      <c r="B367" t="s">
        <v>1934</v>
      </c>
      <c r="C367" t="s">
        <v>2025</v>
      </c>
      <c r="D367">
        <v>501035</v>
      </c>
      <c r="E367" t="s">
        <v>134</v>
      </c>
      <c r="F367" t="s">
        <v>135</v>
      </c>
      <c r="G367" s="110">
        <v>383.27350000000001</v>
      </c>
      <c r="H367" s="110">
        <v>545.39980000000003</v>
      </c>
      <c r="I367" s="110">
        <v>879.53314999999998</v>
      </c>
      <c r="J367" s="110">
        <v>1059.4131500000001</v>
      </c>
      <c r="K367" s="110">
        <v>1317.16157</v>
      </c>
    </row>
    <row r="368" spans="1:11" x14ac:dyDescent="0.2">
      <c r="A368" s="111">
        <v>12</v>
      </c>
      <c r="B368" t="s">
        <v>1934</v>
      </c>
      <c r="C368" t="s">
        <v>2025</v>
      </c>
      <c r="D368">
        <v>501113</v>
      </c>
      <c r="E368" t="s">
        <v>148</v>
      </c>
      <c r="F368" t="s">
        <v>1839</v>
      </c>
      <c r="G368" s="110">
        <v>0</v>
      </c>
      <c r="H368" s="110">
        <v>108.68940000000001</v>
      </c>
      <c r="I368" s="110">
        <v>425.56788999999998</v>
      </c>
      <c r="J368" s="110">
        <v>686.07971999999995</v>
      </c>
      <c r="K368" s="110">
        <v>954.92484000000002</v>
      </c>
    </row>
    <row r="369" spans="1:11" x14ac:dyDescent="0.2">
      <c r="A369" s="111">
        <v>12</v>
      </c>
      <c r="B369" t="s">
        <v>1934</v>
      </c>
      <c r="C369" t="s">
        <v>2025</v>
      </c>
      <c r="D369">
        <v>501100</v>
      </c>
      <c r="E369" t="s">
        <v>169</v>
      </c>
      <c r="F369" t="s">
        <v>1839</v>
      </c>
      <c r="G369" s="110">
        <v>76.858519999999999</v>
      </c>
      <c r="H369" s="110">
        <v>231.50805</v>
      </c>
      <c r="I369" s="110">
        <v>397.57308999999998</v>
      </c>
      <c r="J369" s="110">
        <v>599.95875000000001</v>
      </c>
      <c r="K369" s="110">
        <v>751.15895999999998</v>
      </c>
    </row>
    <row r="370" spans="1:11" x14ac:dyDescent="0.2">
      <c r="A370" s="111">
        <v>12</v>
      </c>
      <c r="B370" t="s">
        <v>1934</v>
      </c>
      <c r="C370" t="s">
        <v>2025</v>
      </c>
      <c r="D370">
        <v>501115</v>
      </c>
      <c r="E370" t="s">
        <v>174</v>
      </c>
      <c r="F370" t="s">
        <v>1839</v>
      </c>
      <c r="G370" s="110">
        <v>0</v>
      </c>
      <c r="H370" s="110">
        <v>108.02709</v>
      </c>
      <c r="I370" s="110">
        <v>382.62229000000002</v>
      </c>
      <c r="J370" s="110">
        <v>617.68299999999999</v>
      </c>
      <c r="K370" s="110">
        <v>698.30712000000005</v>
      </c>
    </row>
    <row r="371" spans="1:11" x14ac:dyDescent="0.2">
      <c r="A371" s="111">
        <v>12</v>
      </c>
      <c r="B371" t="s">
        <v>1934</v>
      </c>
      <c r="C371" t="s">
        <v>2025</v>
      </c>
      <c r="D371">
        <v>500750</v>
      </c>
      <c r="E371" t="s">
        <v>175</v>
      </c>
      <c r="F371" t="s">
        <v>176</v>
      </c>
      <c r="G371" s="110">
        <v>522.90171999999995</v>
      </c>
      <c r="H371" s="110">
        <v>570.46704999999997</v>
      </c>
      <c r="I371" s="110">
        <v>615.15047000000004</v>
      </c>
      <c r="J371" s="110">
        <v>651.07672000000002</v>
      </c>
      <c r="K371" s="110">
        <v>691.27790000000005</v>
      </c>
    </row>
    <row r="372" spans="1:11" x14ac:dyDescent="0.2">
      <c r="A372" s="111">
        <v>12</v>
      </c>
      <c r="B372" t="s">
        <v>1934</v>
      </c>
      <c r="C372" t="s">
        <v>2025</v>
      </c>
      <c r="D372">
        <v>500163</v>
      </c>
      <c r="E372" t="s">
        <v>185</v>
      </c>
      <c r="F372" t="s">
        <v>186</v>
      </c>
      <c r="G372" s="110">
        <v>453.92291999999998</v>
      </c>
      <c r="H372" s="110">
        <v>521.23342000000002</v>
      </c>
      <c r="I372" s="110">
        <v>563.52455999999995</v>
      </c>
      <c r="J372" s="110">
        <v>603.96370999999999</v>
      </c>
      <c r="K372" s="110">
        <v>653.20145000000002</v>
      </c>
    </row>
    <row r="373" spans="1:11" x14ac:dyDescent="0.2">
      <c r="A373" s="111">
        <v>12</v>
      </c>
      <c r="B373" t="s">
        <v>1934</v>
      </c>
      <c r="C373" t="s">
        <v>2025</v>
      </c>
      <c r="D373">
        <v>501033</v>
      </c>
      <c r="E373" t="s">
        <v>221</v>
      </c>
      <c r="F373" t="s">
        <v>222</v>
      </c>
      <c r="G373" s="110">
        <v>172.39255</v>
      </c>
      <c r="H373" s="110">
        <v>249.79924</v>
      </c>
      <c r="I373" s="110">
        <v>332.91143</v>
      </c>
      <c r="J373" s="110">
        <v>425.40852999999998</v>
      </c>
      <c r="K373" s="110">
        <v>500.56558000000001</v>
      </c>
    </row>
    <row r="374" spans="1:11" x14ac:dyDescent="0.2">
      <c r="A374" s="111">
        <v>12</v>
      </c>
      <c r="B374" t="s">
        <v>1934</v>
      </c>
      <c r="C374" t="s">
        <v>2025</v>
      </c>
      <c r="D374">
        <v>500808</v>
      </c>
      <c r="E374" t="s">
        <v>225</v>
      </c>
      <c r="F374" t="s">
        <v>226</v>
      </c>
      <c r="G374" s="110">
        <v>427.93299999999999</v>
      </c>
      <c r="H374" s="110">
        <v>403.74869999999999</v>
      </c>
      <c r="I374" s="110">
        <v>444.46793000000002</v>
      </c>
      <c r="J374" s="110">
        <v>455.97451999999998</v>
      </c>
      <c r="K374" s="110">
        <v>487.24696</v>
      </c>
    </row>
    <row r="375" spans="1:11" x14ac:dyDescent="0.2">
      <c r="A375" s="111">
        <v>12</v>
      </c>
      <c r="B375" t="s">
        <v>1934</v>
      </c>
      <c r="C375" t="s">
        <v>2025</v>
      </c>
      <c r="D375">
        <v>501101</v>
      </c>
      <c r="E375" t="s">
        <v>245</v>
      </c>
      <c r="F375" t="s">
        <v>1839</v>
      </c>
      <c r="G375" s="110">
        <v>18.210360000000001</v>
      </c>
      <c r="H375" s="110">
        <v>126.40589</v>
      </c>
      <c r="I375" s="110">
        <v>221.39793</v>
      </c>
      <c r="J375" s="110">
        <v>286.36311999999998</v>
      </c>
      <c r="K375" s="110">
        <v>390.43331000000001</v>
      </c>
    </row>
    <row r="376" spans="1:11" x14ac:dyDescent="0.2">
      <c r="A376" s="111">
        <v>12</v>
      </c>
      <c r="B376" t="s">
        <v>1934</v>
      </c>
      <c r="C376" t="s">
        <v>2025</v>
      </c>
      <c r="D376">
        <v>500179</v>
      </c>
      <c r="E376" t="s">
        <v>260</v>
      </c>
      <c r="F376" t="s">
        <v>261</v>
      </c>
      <c r="G376" s="110">
        <v>256.30734999999999</v>
      </c>
      <c r="H376" s="110">
        <v>289.02643</v>
      </c>
      <c r="I376" s="110">
        <v>300.06306999999998</v>
      </c>
      <c r="J376" s="110">
        <v>338.44546000000003</v>
      </c>
      <c r="K376" s="110">
        <v>343.96505000000002</v>
      </c>
    </row>
    <row r="377" spans="1:11" x14ac:dyDescent="0.2">
      <c r="A377" s="111">
        <v>12</v>
      </c>
      <c r="B377" t="s">
        <v>1934</v>
      </c>
      <c r="C377" t="s">
        <v>2025</v>
      </c>
      <c r="D377">
        <v>500114</v>
      </c>
      <c r="E377" t="s">
        <v>262</v>
      </c>
      <c r="F377" t="s">
        <v>263</v>
      </c>
      <c r="G377" s="110">
        <v>290.83076999999997</v>
      </c>
      <c r="H377" s="110">
        <v>314.15512999999999</v>
      </c>
      <c r="I377" s="110">
        <v>334.25903</v>
      </c>
      <c r="J377" s="110">
        <v>330.34640000000002</v>
      </c>
      <c r="K377" s="110">
        <v>336.84417000000002</v>
      </c>
    </row>
    <row r="378" spans="1:11" x14ac:dyDescent="0.2">
      <c r="A378" s="111">
        <v>12</v>
      </c>
      <c r="B378" t="s">
        <v>1934</v>
      </c>
      <c r="C378" t="s">
        <v>2025</v>
      </c>
      <c r="D378">
        <v>501102</v>
      </c>
      <c r="E378" t="s">
        <v>264</v>
      </c>
      <c r="F378" t="s">
        <v>1839</v>
      </c>
      <c r="G378" s="110">
        <v>36.452399999999997</v>
      </c>
      <c r="H378" s="110">
        <v>93.4345</v>
      </c>
      <c r="I378" s="110">
        <v>184.64755</v>
      </c>
      <c r="J378" s="110">
        <v>252.38883000000001</v>
      </c>
      <c r="K378" s="110">
        <v>334.19060000000002</v>
      </c>
    </row>
    <row r="379" spans="1:11" x14ac:dyDescent="0.2">
      <c r="A379" s="111">
        <v>12</v>
      </c>
      <c r="B379" t="s">
        <v>1934</v>
      </c>
      <c r="C379" t="s">
        <v>2025</v>
      </c>
      <c r="D379">
        <v>500162</v>
      </c>
      <c r="E379" t="s">
        <v>273</v>
      </c>
      <c r="F379" t="s">
        <v>274</v>
      </c>
      <c r="G379" s="110">
        <v>269.8032</v>
      </c>
      <c r="H379" s="110">
        <v>267.59269999999998</v>
      </c>
      <c r="I379" s="110">
        <v>276.18009000000001</v>
      </c>
      <c r="J379" s="110">
        <v>298.84703000000002</v>
      </c>
      <c r="K379" s="110">
        <v>309.31792000000002</v>
      </c>
    </row>
    <row r="380" spans="1:11" x14ac:dyDescent="0.2">
      <c r="A380" s="111">
        <v>12</v>
      </c>
      <c r="B380" t="s">
        <v>1934</v>
      </c>
      <c r="C380" t="s">
        <v>2025</v>
      </c>
      <c r="D380">
        <v>501015</v>
      </c>
      <c r="E380" t="s">
        <v>275</v>
      </c>
      <c r="F380" t="s">
        <v>276</v>
      </c>
      <c r="G380" s="110">
        <v>124.57055</v>
      </c>
      <c r="H380" s="110">
        <v>156.18790000000001</v>
      </c>
      <c r="I380" s="110">
        <v>203.49251000000001</v>
      </c>
      <c r="J380" s="110">
        <v>259.02298999999999</v>
      </c>
      <c r="K380" s="110">
        <v>309.24218999999999</v>
      </c>
    </row>
    <row r="381" spans="1:11" x14ac:dyDescent="0.2">
      <c r="A381" s="111">
        <v>12</v>
      </c>
      <c r="B381" t="s">
        <v>1934</v>
      </c>
      <c r="C381" t="s">
        <v>2025</v>
      </c>
      <c r="D381">
        <v>500657</v>
      </c>
      <c r="E381" t="s">
        <v>287</v>
      </c>
      <c r="F381" t="s">
        <v>288</v>
      </c>
      <c r="G381" s="110">
        <v>245.11994000000001</v>
      </c>
      <c r="H381" s="110">
        <v>237.58457999999999</v>
      </c>
      <c r="I381" s="110">
        <v>236.67444</v>
      </c>
      <c r="J381" s="110">
        <v>267.65825999999998</v>
      </c>
      <c r="K381" s="110">
        <v>281.88738999999998</v>
      </c>
    </row>
    <row r="382" spans="1:11" x14ac:dyDescent="0.2">
      <c r="A382" s="111">
        <v>12</v>
      </c>
      <c r="B382" t="s">
        <v>1934</v>
      </c>
      <c r="C382" t="s">
        <v>2025</v>
      </c>
      <c r="D382">
        <v>501139</v>
      </c>
      <c r="E382" t="s">
        <v>311</v>
      </c>
      <c r="F382" t="s">
        <v>312</v>
      </c>
      <c r="G382" s="110">
        <v>0</v>
      </c>
      <c r="H382" s="110">
        <v>0</v>
      </c>
      <c r="I382" s="110">
        <v>41.258560000000003</v>
      </c>
      <c r="J382" s="110">
        <v>154.97714999999999</v>
      </c>
      <c r="K382" s="110">
        <v>217.25380000000001</v>
      </c>
    </row>
    <row r="383" spans="1:11" x14ac:dyDescent="0.2">
      <c r="A383" s="111">
        <v>12</v>
      </c>
      <c r="B383" t="s">
        <v>1934</v>
      </c>
      <c r="C383" t="s">
        <v>2025</v>
      </c>
      <c r="D383">
        <v>501089</v>
      </c>
      <c r="E383" t="s">
        <v>335</v>
      </c>
      <c r="F383" t="s">
        <v>1839</v>
      </c>
      <c r="G383" s="110">
        <v>7.7737499999999997</v>
      </c>
      <c r="H383" s="110">
        <v>46.447249999999997</v>
      </c>
      <c r="I383" s="110">
        <v>100.72901</v>
      </c>
      <c r="J383" s="110">
        <v>143.30654999999999</v>
      </c>
      <c r="K383" s="110">
        <v>181.09218999999999</v>
      </c>
    </row>
    <row r="384" spans="1:11" x14ac:dyDescent="0.2">
      <c r="A384" s="111">
        <v>12</v>
      </c>
      <c r="B384" t="s">
        <v>1934</v>
      </c>
      <c r="C384" t="s">
        <v>2025</v>
      </c>
      <c r="D384">
        <v>500161</v>
      </c>
      <c r="E384" t="s">
        <v>352</v>
      </c>
      <c r="F384" t="s">
        <v>353</v>
      </c>
      <c r="G384" s="110">
        <v>72.540170000000003</v>
      </c>
      <c r="H384" s="110">
        <v>153.09798000000001</v>
      </c>
      <c r="I384" s="110">
        <v>146.16095999999999</v>
      </c>
      <c r="J384" s="110">
        <v>170.46869000000001</v>
      </c>
      <c r="K384" s="110">
        <v>162.20493999999999</v>
      </c>
    </row>
    <row r="385" spans="1:11" x14ac:dyDescent="0.2">
      <c r="A385" s="111">
        <v>12</v>
      </c>
      <c r="B385" t="s">
        <v>1934</v>
      </c>
      <c r="C385" t="s">
        <v>2025</v>
      </c>
      <c r="D385">
        <v>500616</v>
      </c>
      <c r="E385" t="s">
        <v>354</v>
      </c>
      <c r="F385" t="s">
        <v>355</v>
      </c>
      <c r="G385" s="110">
        <v>108.64197</v>
      </c>
      <c r="H385" s="110">
        <v>132.42748</v>
      </c>
      <c r="I385" s="110">
        <v>139.9178</v>
      </c>
      <c r="J385" s="110">
        <v>147.74296000000001</v>
      </c>
      <c r="K385" s="110">
        <v>161.37775999999999</v>
      </c>
    </row>
    <row r="386" spans="1:11" x14ac:dyDescent="0.2">
      <c r="A386" s="111">
        <v>12</v>
      </c>
      <c r="B386" t="s">
        <v>1934</v>
      </c>
      <c r="C386" t="s">
        <v>2025</v>
      </c>
      <c r="D386">
        <v>501007</v>
      </c>
      <c r="E386" t="s">
        <v>356</v>
      </c>
      <c r="F386" t="s">
        <v>357</v>
      </c>
      <c r="G386" s="110">
        <v>64.735740000000007</v>
      </c>
      <c r="H386" s="110">
        <v>91.713710000000006</v>
      </c>
      <c r="I386" s="110">
        <v>114.20106</v>
      </c>
      <c r="J386" s="110">
        <v>136.07499000000001</v>
      </c>
      <c r="K386" s="110">
        <v>160.72783999999999</v>
      </c>
    </row>
    <row r="387" spans="1:11" x14ac:dyDescent="0.2">
      <c r="A387" s="111">
        <v>12</v>
      </c>
      <c r="B387" t="s">
        <v>1934</v>
      </c>
      <c r="C387" t="s">
        <v>2025</v>
      </c>
      <c r="D387">
        <v>500980</v>
      </c>
      <c r="E387" t="s">
        <v>360</v>
      </c>
      <c r="F387" t="s">
        <v>361</v>
      </c>
      <c r="G387" s="110">
        <v>109.06925</v>
      </c>
      <c r="H387" s="110">
        <v>111.62958999999999</v>
      </c>
      <c r="I387" s="110">
        <v>128.33096</v>
      </c>
      <c r="J387" s="110">
        <v>126.82267</v>
      </c>
      <c r="K387" s="110">
        <v>154.78693000000001</v>
      </c>
    </row>
    <row r="388" spans="1:11" x14ac:dyDescent="0.2">
      <c r="A388" s="111">
        <v>12</v>
      </c>
      <c r="B388" t="s">
        <v>1934</v>
      </c>
      <c r="C388" t="s">
        <v>2025</v>
      </c>
      <c r="D388">
        <v>500962</v>
      </c>
      <c r="E388" t="s">
        <v>378</v>
      </c>
      <c r="F388" t="s">
        <v>379</v>
      </c>
      <c r="G388" s="110">
        <v>88.514799999999994</v>
      </c>
      <c r="H388" s="110">
        <v>100.63679999999999</v>
      </c>
      <c r="I388" s="110">
        <v>105.5472</v>
      </c>
      <c r="J388" s="110">
        <v>121.71720000000001</v>
      </c>
      <c r="K388" s="110">
        <v>136.95773</v>
      </c>
    </row>
    <row r="389" spans="1:11" x14ac:dyDescent="0.2">
      <c r="A389" s="111">
        <v>12</v>
      </c>
      <c r="B389" t="s">
        <v>1934</v>
      </c>
      <c r="C389" t="s">
        <v>2025</v>
      </c>
      <c r="D389">
        <v>500942</v>
      </c>
      <c r="E389" t="s">
        <v>386</v>
      </c>
      <c r="F389" t="s">
        <v>387</v>
      </c>
      <c r="G389" s="110">
        <v>84.614009999999993</v>
      </c>
      <c r="H389" s="110">
        <v>90.223399999999998</v>
      </c>
      <c r="I389" s="110">
        <v>97.915189999999996</v>
      </c>
      <c r="J389" s="110">
        <v>119.23925</v>
      </c>
      <c r="K389" s="110">
        <v>124.18559999999999</v>
      </c>
    </row>
    <row r="390" spans="1:11" x14ac:dyDescent="0.2">
      <c r="A390" s="111">
        <v>12</v>
      </c>
      <c r="B390" t="s">
        <v>1934</v>
      </c>
      <c r="C390" t="s">
        <v>2025</v>
      </c>
      <c r="D390">
        <v>500953</v>
      </c>
      <c r="E390" t="s">
        <v>398</v>
      </c>
      <c r="F390" t="s">
        <v>399</v>
      </c>
      <c r="G390" s="110">
        <v>52.243160000000003</v>
      </c>
      <c r="H390" s="110">
        <v>61.055300000000003</v>
      </c>
      <c r="I390" s="110">
        <v>75.892930000000007</v>
      </c>
      <c r="J390" s="110">
        <v>88.032870000000003</v>
      </c>
      <c r="K390" s="110">
        <v>103.29476</v>
      </c>
    </row>
    <row r="391" spans="1:11" x14ac:dyDescent="0.2">
      <c r="A391" s="111">
        <v>12</v>
      </c>
      <c r="B391" t="s">
        <v>1934</v>
      </c>
      <c r="C391" t="s">
        <v>2025</v>
      </c>
      <c r="D391">
        <v>501099</v>
      </c>
      <c r="E391" t="s">
        <v>402</v>
      </c>
      <c r="F391" t="s">
        <v>1839</v>
      </c>
      <c r="G391" s="110">
        <v>29.268609999999999</v>
      </c>
      <c r="H391" s="110">
        <v>68.270099999999999</v>
      </c>
      <c r="I391" s="110">
        <v>80.065370000000001</v>
      </c>
      <c r="J391" s="110">
        <v>84.526060000000001</v>
      </c>
      <c r="K391" s="110">
        <v>98.350610000000003</v>
      </c>
    </row>
    <row r="392" spans="1:11" x14ac:dyDescent="0.2">
      <c r="A392" s="111">
        <v>12</v>
      </c>
      <c r="B392" t="s">
        <v>1934</v>
      </c>
      <c r="C392" t="s">
        <v>2025</v>
      </c>
      <c r="D392">
        <v>591919</v>
      </c>
      <c r="E392" t="s">
        <v>413</v>
      </c>
      <c r="F392" t="s">
        <v>414</v>
      </c>
      <c r="G392" s="110">
        <v>177.08921000000001</v>
      </c>
      <c r="H392" s="110">
        <v>192.74592999999999</v>
      </c>
      <c r="I392" s="110">
        <v>149.78217000000001</v>
      </c>
      <c r="J392" s="110">
        <v>112.46364</v>
      </c>
      <c r="K392" s="110">
        <v>91.63355</v>
      </c>
    </row>
    <row r="393" spans="1:11" x14ac:dyDescent="0.2">
      <c r="A393" s="111">
        <v>12</v>
      </c>
      <c r="B393" t="s">
        <v>1934</v>
      </c>
      <c r="C393" t="s">
        <v>2025</v>
      </c>
      <c r="D393">
        <v>501083</v>
      </c>
      <c r="E393" t="s">
        <v>423</v>
      </c>
      <c r="F393" t="s">
        <v>1839</v>
      </c>
      <c r="G393" s="110">
        <v>14.226509999999999</v>
      </c>
      <c r="H393" s="110">
        <v>60.316989999999997</v>
      </c>
      <c r="I393" s="110">
        <v>50.592880000000001</v>
      </c>
      <c r="J393" s="110">
        <v>72.166480000000007</v>
      </c>
      <c r="K393" s="110">
        <v>87.208020000000005</v>
      </c>
    </row>
    <row r="394" spans="1:11" x14ac:dyDescent="0.2">
      <c r="A394" s="111">
        <v>12</v>
      </c>
      <c r="B394" t="s">
        <v>1934</v>
      </c>
      <c r="C394" t="s">
        <v>2025</v>
      </c>
      <c r="D394">
        <v>500996</v>
      </c>
      <c r="E394" t="s">
        <v>434</v>
      </c>
      <c r="F394" t="s">
        <v>435</v>
      </c>
      <c r="G394" s="110">
        <v>49.493009999999998</v>
      </c>
      <c r="H394" s="110">
        <v>59.236969999999999</v>
      </c>
      <c r="I394" s="110">
        <v>69.028739999999999</v>
      </c>
      <c r="J394" s="110">
        <v>76.20496</v>
      </c>
      <c r="K394" s="110">
        <v>80.320260000000005</v>
      </c>
    </row>
    <row r="395" spans="1:11" x14ac:dyDescent="0.2">
      <c r="A395" s="111">
        <v>12</v>
      </c>
      <c r="B395" t="s">
        <v>1934</v>
      </c>
      <c r="C395" t="s">
        <v>2025</v>
      </c>
      <c r="D395">
        <v>501076</v>
      </c>
      <c r="E395" t="s">
        <v>436</v>
      </c>
      <c r="F395" t="s">
        <v>437</v>
      </c>
      <c r="G395" s="110">
        <v>0</v>
      </c>
      <c r="H395" s="110">
        <v>0</v>
      </c>
      <c r="I395" s="110">
        <v>0</v>
      </c>
      <c r="J395" s="110">
        <v>21.54806</v>
      </c>
      <c r="K395" s="110">
        <v>80.077910000000003</v>
      </c>
    </row>
    <row r="396" spans="1:11" x14ac:dyDescent="0.2">
      <c r="A396" s="111">
        <v>12</v>
      </c>
      <c r="B396" t="s">
        <v>1934</v>
      </c>
      <c r="C396" t="s">
        <v>2025</v>
      </c>
      <c r="D396">
        <v>501114</v>
      </c>
      <c r="E396" t="s">
        <v>462</v>
      </c>
      <c r="F396" t="s">
        <v>1839</v>
      </c>
      <c r="G396" s="110">
        <v>0</v>
      </c>
      <c r="H396" s="110">
        <v>19.2774</v>
      </c>
      <c r="I396" s="110">
        <v>26.4419</v>
      </c>
      <c r="J396" s="110">
        <v>53.107849999999999</v>
      </c>
      <c r="K396" s="110">
        <v>63.75</v>
      </c>
    </row>
    <row r="397" spans="1:11" x14ac:dyDescent="0.2">
      <c r="A397" s="111">
        <v>12</v>
      </c>
      <c r="B397" t="s">
        <v>1934</v>
      </c>
      <c r="C397" t="s">
        <v>2025</v>
      </c>
      <c r="D397">
        <v>501082</v>
      </c>
      <c r="E397" t="s">
        <v>463</v>
      </c>
      <c r="F397" t="s">
        <v>1839</v>
      </c>
      <c r="G397" s="110">
        <v>10.907249999999999</v>
      </c>
      <c r="H397" s="110">
        <v>24.819130000000001</v>
      </c>
      <c r="I397" s="110">
        <v>35.10239</v>
      </c>
      <c r="J397" s="110">
        <v>45.185989999999997</v>
      </c>
      <c r="K397" s="110">
        <v>63.548169999999999</v>
      </c>
    </row>
    <row r="398" spans="1:11" x14ac:dyDescent="0.2">
      <c r="A398" s="111">
        <v>12</v>
      </c>
      <c r="B398" t="s">
        <v>1934</v>
      </c>
      <c r="C398" t="s">
        <v>2025</v>
      </c>
      <c r="D398">
        <v>500171</v>
      </c>
      <c r="E398" t="s">
        <v>478</v>
      </c>
      <c r="F398" t="s">
        <v>479</v>
      </c>
      <c r="G398" s="110">
        <v>30</v>
      </c>
      <c r="H398" s="110">
        <v>30</v>
      </c>
      <c r="I398" s="110">
        <v>30</v>
      </c>
      <c r="J398" s="110">
        <v>30</v>
      </c>
      <c r="K398" s="110">
        <v>54</v>
      </c>
    </row>
    <row r="399" spans="1:11" x14ac:dyDescent="0.2">
      <c r="A399" s="111">
        <v>12</v>
      </c>
      <c r="B399" t="s">
        <v>1934</v>
      </c>
      <c r="C399" t="s">
        <v>2025</v>
      </c>
      <c r="D399">
        <v>500792</v>
      </c>
      <c r="E399" t="s">
        <v>490</v>
      </c>
      <c r="F399" t="s">
        <v>1839</v>
      </c>
      <c r="G399" s="110">
        <v>0</v>
      </c>
      <c r="H399" s="110">
        <v>5.1889500000000002</v>
      </c>
      <c r="I399" s="110">
        <v>22.258500000000002</v>
      </c>
      <c r="J399" s="110">
        <v>31.108799999999999</v>
      </c>
      <c r="K399" s="110">
        <v>47.277520000000003</v>
      </c>
    </row>
    <row r="400" spans="1:11" x14ac:dyDescent="0.2">
      <c r="A400" s="111">
        <v>12</v>
      </c>
      <c r="B400" t="s">
        <v>1934</v>
      </c>
      <c r="C400" t="s">
        <v>2025</v>
      </c>
      <c r="D400" t="s">
        <v>1839</v>
      </c>
      <c r="E400" t="s">
        <v>491</v>
      </c>
      <c r="F400" t="s">
        <v>1839</v>
      </c>
      <c r="G400" s="110">
        <v>0</v>
      </c>
      <c r="H400" s="110">
        <v>0</v>
      </c>
      <c r="I400" s="110">
        <v>0</v>
      </c>
      <c r="J400" s="110">
        <v>5.6440099999999997</v>
      </c>
      <c r="K400" s="110">
        <v>46.917160000000003</v>
      </c>
    </row>
    <row r="401" spans="1:11" x14ac:dyDescent="0.2">
      <c r="A401" s="111">
        <v>12</v>
      </c>
      <c r="B401" t="s">
        <v>1934</v>
      </c>
      <c r="C401" t="s">
        <v>2025</v>
      </c>
      <c r="D401">
        <v>501144</v>
      </c>
      <c r="E401" t="s">
        <v>494</v>
      </c>
      <c r="F401" t="s">
        <v>495</v>
      </c>
      <c r="G401" s="110">
        <v>0</v>
      </c>
      <c r="H401" s="110">
        <v>0</v>
      </c>
      <c r="I401" s="110">
        <v>0</v>
      </c>
      <c r="J401" s="110">
        <v>0</v>
      </c>
      <c r="K401" s="110">
        <v>46.231180000000002</v>
      </c>
    </row>
    <row r="402" spans="1:11" x14ac:dyDescent="0.2">
      <c r="A402" s="111">
        <v>12</v>
      </c>
      <c r="B402" t="s">
        <v>1934</v>
      </c>
      <c r="C402" t="s">
        <v>2025</v>
      </c>
      <c r="D402">
        <v>500734</v>
      </c>
      <c r="E402" t="s">
        <v>500</v>
      </c>
      <c r="F402" t="s">
        <v>501</v>
      </c>
      <c r="G402" s="110">
        <v>17.253</v>
      </c>
      <c r="H402" s="110">
        <v>21.928789999999999</v>
      </c>
      <c r="I402" s="110">
        <v>26.641570000000002</v>
      </c>
      <c r="J402" s="110">
        <v>30.1694</v>
      </c>
      <c r="K402" s="110">
        <v>41.045319999999997</v>
      </c>
    </row>
    <row r="403" spans="1:11" x14ac:dyDescent="0.2">
      <c r="A403" s="111">
        <v>12</v>
      </c>
      <c r="B403" t="s">
        <v>1934</v>
      </c>
      <c r="C403" t="s">
        <v>2025</v>
      </c>
      <c r="D403">
        <v>501164</v>
      </c>
      <c r="E403" t="s">
        <v>502</v>
      </c>
      <c r="F403" t="s">
        <v>503</v>
      </c>
      <c r="G403" s="110">
        <v>0</v>
      </c>
      <c r="H403" s="110">
        <v>0</v>
      </c>
      <c r="I403" s="110">
        <v>0</v>
      </c>
      <c r="J403" s="110">
        <v>22.542400000000001</v>
      </c>
      <c r="K403" s="110">
        <v>40.637599999999999</v>
      </c>
    </row>
    <row r="404" spans="1:11" x14ac:dyDescent="0.2">
      <c r="A404" s="111">
        <v>12</v>
      </c>
      <c r="B404" t="s">
        <v>1934</v>
      </c>
      <c r="C404" t="s">
        <v>2025</v>
      </c>
      <c r="D404">
        <v>500698</v>
      </c>
      <c r="E404" t="s">
        <v>508</v>
      </c>
      <c r="F404" t="s">
        <v>509</v>
      </c>
      <c r="G404" s="110">
        <v>46.067309999999999</v>
      </c>
      <c r="H404" s="110">
        <v>56.186250000000001</v>
      </c>
      <c r="I404" s="110">
        <v>52.836300000000001</v>
      </c>
      <c r="J404" s="110">
        <v>41.906700000000001</v>
      </c>
      <c r="K404" s="110">
        <v>37.577100000000002</v>
      </c>
    </row>
    <row r="405" spans="1:11" x14ac:dyDescent="0.2">
      <c r="A405" s="111">
        <v>12</v>
      </c>
      <c r="B405" t="s">
        <v>1934</v>
      </c>
      <c r="C405" t="s">
        <v>2025</v>
      </c>
      <c r="D405">
        <v>501133</v>
      </c>
      <c r="E405" t="s">
        <v>556</v>
      </c>
      <c r="F405" t="s">
        <v>557</v>
      </c>
      <c r="G405" s="110">
        <v>0</v>
      </c>
      <c r="H405" s="110">
        <v>0.84599999999999997</v>
      </c>
      <c r="I405" s="110">
        <v>12.5502</v>
      </c>
      <c r="J405" s="110">
        <v>16.308150000000001</v>
      </c>
      <c r="K405" s="110">
        <v>22.21125</v>
      </c>
    </row>
    <row r="406" spans="1:11" x14ac:dyDescent="0.2">
      <c r="A406" s="111">
        <v>12</v>
      </c>
      <c r="B406" t="s">
        <v>1934</v>
      </c>
      <c r="C406" t="s">
        <v>2025</v>
      </c>
      <c r="D406">
        <v>500803</v>
      </c>
      <c r="E406" t="s">
        <v>564</v>
      </c>
      <c r="F406" t="s">
        <v>565</v>
      </c>
      <c r="G406" s="110">
        <v>30.5184</v>
      </c>
      <c r="H406" s="110">
        <v>30.2743</v>
      </c>
      <c r="I406" s="110">
        <v>30.762799999999999</v>
      </c>
      <c r="J406" s="110">
        <v>24.8978</v>
      </c>
      <c r="K406" s="110">
        <v>20.280999999999999</v>
      </c>
    </row>
    <row r="407" spans="1:11" x14ac:dyDescent="0.2">
      <c r="A407" s="111">
        <v>12</v>
      </c>
      <c r="B407" t="s">
        <v>1934</v>
      </c>
      <c r="C407" t="s">
        <v>2025</v>
      </c>
      <c r="D407">
        <v>500046</v>
      </c>
      <c r="E407" t="s">
        <v>572</v>
      </c>
      <c r="F407" t="s">
        <v>573</v>
      </c>
      <c r="G407" s="110">
        <v>20.17822</v>
      </c>
      <c r="H407" s="110">
        <v>19.761109999999999</v>
      </c>
      <c r="I407" s="110">
        <v>18.42952</v>
      </c>
      <c r="J407" s="110">
        <v>18.103149999999999</v>
      </c>
      <c r="K407" s="110">
        <v>19.447800000000001</v>
      </c>
    </row>
    <row r="408" spans="1:11" x14ac:dyDescent="0.2">
      <c r="A408" s="111">
        <v>12</v>
      </c>
      <c r="B408" t="s">
        <v>1934</v>
      </c>
      <c r="C408" t="s">
        <v>2025</v>
      </c>
      <c r="D408">
        <v>500917</v>
      </c>
      <c r="E408" t="s">
        <v>580</v>
      </c>
      <c r="F408" t="s">
        <v>581</v>
      </c>
      <c r="G408" s="110">
        <v>11.18815</v>
      </c>
      <c r="H408" s="110">
        <v>13.998699999999999</v>
      </c>
      <c r="I408" s="110">
        <v>14.64415</v>
      </c>
      <c r="J408" s="110">
        <v>16.5441</v>
      </c>
      <c r="K408" s="110">
        <v>16.67718</v>
      </c>
    </row>
    <row r="409" spans="1:11" x14ac:dyDescent="0.2">
      <c r="A409" s="111">
        <v>12</v>
      </c>
      <c r="B409" t="s">
        <v>1934</v>
      </c>
      <c r="C409" t="s">
        <v>2025</v>
      </c>
      <c r="D409">
        <v>501090</v>
      </c>
      <c r="E409" t="s">
        <v>588</v>
      </c>
      <c r="F409" t="s">
        <v>1839</v>
      </c>
      <c r="G409" s="110">
        <v>0</v>
      </c>
      <c r="H409" s="110">
        <v>3.9584999999999999</v>
      </c>
      <c r="I409" s="110">
        <v>9.0404999999999998</v>
      </c>
      <c r="J409" s="110">
        <v>13.225199999999999</v>
      </c>
      <c r="K409" s="110">
        <v>14.791499999999999</v>
      </c>
    </row>
    <row r="410" spans="1:11" x14ac:dyDescent="0.2">
      <c r="A410" s="111">
        <v>12</v>
      </c>
      <c r="B410" t="s">
        <v>1934</v>
      </c>
      <c r="C410" t="s">
        <v>2025</v>
      </c>
      <c r="D410">
        <v>500791</v>
      </c>
      <c r="E410" t="s">
        <v>591</v>
      </c>
      <c r="F410" t="s">
        <v>1839</v>
      </c>
      <c r="G410" s="110">
        <v>0</v>
      </c>
      <c r="H410" s="110">
        <v>2.6676000000000002</v>
      </c>
      <c r="I410" s="110">
        <v>7.5743999999999998</v>
      </c>
      <c r="J410" s="110">
        <v>15.316800000000001</v>
      </c>
      <c r="K410" s="110">
        <v>13.278700000000001</v>
      </c>
    </row>
    <row r="411" spans="1:11" x14ac:dyDescent="0.2">
      <c r="A411" s="111">
        <v>12</v>
      </c>
      <c r="B411" t="s">
        <v>1934</v>
      </c>
      <c r="C411" t="s">
        <v>2025</v>
      </c>
      <c r="D411">
        <v>500049</v>
      </c>
      <c r="E411" t="s">
        <v>594</v>
      </c>
      <c r="F411" t="s">
        <v>595</v>
      </c>
      <c r="G411" s="110">
        <v>7.0754099999999998</v>
      </c>
      <c r="H411" s="110">
        <v>8.0766200000000001</v>
      </c>
      <c r="I411" s="110">
        <v>9.7919999999999998</v>
      </c>
      <c r="J411" s="110">
        <v>11.70969</v>
      </c>
      <c r="K411" s="110">
        <v>12.8</v>
      </c>
    </row>
    <row r="412" spans="1:11" x14ac:dyDescent="0.2">
      <c r="A412" s="111">
        <v>12</v>
      </c>
      <c r="B412" t="s">
        <v>1934</v>
      </c>
      <c r="C412" t="s">
        <v>2025</v>
      </c>
      <c r="D412">
        <v>500790</v>
      </c>
      <c r="E412" t="s">
        <v>618</v>
      </c>
      <c r="F412" t="s">
        <v>1839</v>
      </c>
      <c r="G412" s="110">
        <v>0</v>
      </c>
      <c r="H412" s="110">
        <v>0.53400000000000003</v>
      </c>
      <c r="I412" s="110">
        <v>5.7609000000000004</v>
      </c>
      <c r="J412" s="110">
        <v>10.2545</v>
      </c>
      <c r="K412" s="110">
        <v>8.8747000000000007</v>
      </c>
    </row>
    <row r="413" spans="1:11" x14ac:dyDescent="0.2">
      <c r="A413" s="111">
        <v>12</v>
      </c>
      <c r="B413" t="s">
        <v>1934</v>
      </c>
      <c r="C413" t="s">
        <v>2025</v>
      </c>
      <c r="D413">
        <v>501240</v>
      </c>
      <c r="E413" t="s">
        <v>619</v>
      </c>
      <c r="F413" t="s">
        <v>620</v>
      </c>
      <c r="G413" s="110">
        <v>0</v>
      </c>
      <c r="H413" s="110">
        <v>0</v>
      </c>
      <c r="I413" s="110">
        <v>0</v>
      </c>
      <c r="J413" s="110">
        <v>0</v>
      </c>
      <c r="K413" s="110">
        <v>8.2460000000000004</v>
      </c>
    </row>
    <row r="414" spans="1:11" x14ac:dyDescent="0.2">
      <c r="A414" s="111">
        <v>12</v>
      </c>
      <c r="B414" t="s">
        <v>1934</v>
      </c>
      <c r="C414" t="s">
        <v>2025</v>
      </c>
      <c r="D414">
        <v>500312</v>
      </c>
      <c r="E414" t="s">
        <v>637</v>
      </c>
      <c r="F414" t="s">
        <v>638</v>
      </c>
      <c r="G414" s="110">
        <v>3.1080000000000001</v>
      </c>
      <c r="H414" s="110">
        <v>4.0321999999999996</v>
      </c>
      <c r="I414" s="110">
        <v>4.4049500000000004</v>
      </c>
      <c r="J414" s="110">
        <v>6.0507299999999997</v>
      </c>
      <c r="K414" s="110">
        <v>7.4033300000000004</v>
      </c>
    </row>
    <row r="415" spans="1:11" x14ac:dyDescent="0.2">
      <c r="A415" s="111">
        <v>12</v>
      </c>
      <c r="B415" t="s">
        <v>1934</v>
      </c>
      <c r="C415" t="s">
        <v>2025</v>
      </c>
      <c r="D415">
        <v>501119</v>
      </c>
      <c r="E415" t="s">
        <v>679</v>
      </c>
      <c r="F415" t="s">
        <v>1839</v>
      </c>
      <c r="G415" s="110">
        <v>0</v>
      </c>
      <c r="H415" s="110">
        <v>0</v>
      </c>
      <c r="I415" s="110">
        <v>9.9</v>
      </c>
      <c r="J415" s="110">
        <v>4.95</v>
      </c>
      <c r="K415" s="110">
        <v>4.95</v>
      </c>
    </row>
    <row r="416" spans="1:11" x14ac:dyDescent="0.2">
      <c r="A416" s="111">
        <v>12</v>
      </c>
      <c r="B416" t="s">
        <v>1934</v>
      </c>
      <c r="C416" t="s">
        <v>2025</v>
      </c>
      <c r="D416">
        <v>502009</v>
      </c>
      <c r="E416" t="s">
        <v>688</v>
      </c>
      <c r="F416" t="s">
        <v>689</v>
      </c>
      <c r="G416" s="110">
        <v>0</v>
      </c>
      <c r="H416" s="110">
        <v>0</v>
      </c>
      <c r="I416" s="110">
        <v>0</v>
      </c>
      <c r="J416" s="110">
        <v>0</v>
      </c>
      <c r="K416" s="110">
        <v>3.5466000000000002</v>
      </c>
    </row>
    <row r="417" spans="1:11" x14ac:dyDescent="0.2">
      <c r="A417" s="111">
        <v>12</v>
      </c>
      <c r="B417" t="s">
        <v>1934</v>
      </c>
      <c r="C417" t="s">
        <v>2025</v>
      </c>
      <c r="D417">
        <v>500123</v>
      </c>
      <c r="E417" t="s">
        <v>716</v>
      </c>
      <c r="F417" t="s">
        <v>717</v>
      </c>
      <c r="G417" s="110">
        <v>1.8228</v>
      </c>
      <c r="H417" s="110">
        <v>1.7827999999999999</v>
      </c>
      <c r="I417" s="110">
        <v>1.8828</v>
      </c>
      <c r="J417" s="110">
        <v>2.2038000000000002</v>
      </c>
      <c r="K417" s="110">
        <v>2.2584</v>
      </c>
    </row>
    <row r="418" spans="1:11" x14ac:dyDescent="0.2">
      <c r="A418" s="111">
        <v>12</v>
      </c>
      <c r="B418" t="s">
        <v>1934</v>
      </c>
      <c r="C418" t="s">
        <v>2025</v>
      </c>
      <c r="D418">
        <v>500609</v>
      </c>
      <c r="E418" t="s">
        <v>718</v>
      </c>
      <c r="F418" t="s">
        <v>719</v>
      </c>
      <c r="G418" s="110">
        <v>2.1209699999999998</v>
      </c>
      <c r="H418" s="110">
        <v>2.1507399999999999</v>
      </c>
      <c r="I418" s="110">
        <v>1.9348799999999999</v>
      </c>
      <c r="J418" s="110">
        <v>2.3172999999999999</v>
      </c>
      <c r="K418" s="110">
        <v>2.1779999999999999</v>
      </c>
    </row>
    <row r="419" spans="1:11" x14ac:dyDescent="0.2">
      <c r="A419" s="111">
        <v>12</v>
      </c>
      <c r="B419" t="s">
        <v>1934</v>
      </c>
      <c r="C419" t="s">
        <v>2025</v>
      </c>
      <c r="D419">
        <v>501087</v>
      </c>
      <c r="E419" t="s">
        <v>758</v>
      </c>
      <c r="F419" t="s">
        <v>1839</v>
      </c>
      <c r="G419" s="110">
        <v>0.67830000000000001</v>
      </c>
      <c r="H419" s="110">
        <v>1.05366</v>
      </c>
      <c r="I419" s="110">
        <v>0.73499999999999999</v>
      </c>
      <c r="J419" s="110">
        <v>1.2210000000000001</v>
      </c>
      <c r="K419" s="110">
        <v>1.0469999999999999</v>
      </c>
    </row>
    <row r="420" spans="1:11" x14ac:dyDescent="0.2">
      <c r="A420" s="111">
        <v>12</v>
      </c>
      <c r="B420" t="s">
        <v>1934</v>
      </c>
      <c r="C420" t="s">
        <v>2026</v>
      </c>
      <c r="D420">
        <v>501182</v>
      </c>
      <c r="E420" t="s">
        <v>82</v>
      </c>
      <c r="F420" t="s">
        <v>83</v>
      </c>
      <c r="G420" s="110">
        <v>0</v>
      </c>
      <c r="H420" s="110">
        <v>0</v>
      </c>
      <c r="I420" s="110">
        <v>0</v>
      </c>
      <c r="J420" s="110">
        <v>5688.3612000000003</v>
      </c>
      <c r="K420" s="110">
        <v>5918.2662</v>
      </c>
    </row>
    <row r="421" spans="1:11" x14ac:dyDescent="0.2">
      <c r="B421"/>
      <c r="C421"/>
      <c r="D421"/>
      <c r="E421"/>
      <c r="F421"/>
      <c r="G421"/>
      <c r="H421"/>
      <c r="I421"/>
      <c r="J421"/>
      <c r="K421"/>
    </row>
    <row r="422" spans="1:11" x14ac:dyDescent="0.2">
      <c r="B422"/>
      <c r="C422"/>
      <c r="D422"/>
      <c r="E422"/>
      <c r="F422"/>
      <c r="G422"/>
      <c r="H422"/>
      <c r="I422"/>
      <c r="J422"/>
      <c r="K422"/>
    </row>
    <row r="423" spans="1:11" x14ac:dyDescent="0.2">
      <c r="B423"/>
      <c r="C423"/>
      <c r="D423"/>
      <c r="E423"/>
      <c r="F423"/>
      <c r="G423"/>
      <c r="H423"/>
      <c r="I423"/>
      <c r="J423"/>
      <c r="K423"/>
    </row>
    <row r="424" spans="1:11" x14ac:dyDescent="0.2">
      <c r="B424"/>
      <c r="C424"/>
      <c r="D424"/>
      <c r="E424"/>
      <c r="F424"/>
      <c r="G424"/>
      <c r="H424"/>
      <c r="I424"/>
      <c r="J424"/>
      <c r="K424"/>
    </row>
    <row r="425" spans="1:11" x14ac:dyDescent="0.2">
      <c r="B425"/>
      <c r="C425"/>
      <c r="D425"/>
      <c r="E425"/>
      <c r="F425"/>
      <c r="G425"/>
      <c r="H425"/>
      <c r="I425"/>
      <c r="J425"/>
      <c r="K425"/>
    </row>
    <row r="426" spans="1:11" x14ac:dyDescent="0.2">
      <c r="B426"/>
      <c r="C426"/>
      <c r="D426"/>
      <c r="E426"/>
      <c r="F426"/>
      <c r="G426"/>
      <c r="H426"/>
      <c r="I426"/>
      <c r="J426"/>
      <c r="K426"/>
    </row>
    <row r="427" spans="1:11" x14ac:dyDescent="0.2">
      <c r="B427"/>
      <c r="C427"/>
      <c r="D427"/>
      <c r="E427"/>
      <c r="F427"/>
      <c r="G427"/>
      <c r="H427"/>
      <c r="I427"/>
      <c r="J427"/>
      <c r="K427"/>
    </row>
    <row r="428" spans="1:11" x14ac:dyDescent="0.2">
      <c r="B428"/>
      <c r="C428"/>
      <c r="D428"/>
      <c r="E428"/>
      <c r="F428"/>
      <c r="G428"/>
      <c r="H428"/>
      <c r="I428"/>
      <c r="J428"/>
      <c r="K428"/>
    </row>
    <row r="429" spans="1:11" x14ac:dyDescent="0.2">
      <c r="B429"/>
      <c r="C429"/>
      <c r="D429"/>
      <c r="E429"/>
      <c r="F429"/>
      <c r="G429"/>
      <c r="H429"/>
      <c r="I429"/>
      <c r="J429"/>
      <c r="K429"/>
    </row>
    <row r="430" spans="1:11" x14ac:dyDescent="0.2">
      <c r="B430"/>
      <c r="C430"/>
      <c r="D430"/>
      <c r="E430"/>
      <c r="F430"/>
      <c r="G430"/>
      <c r="H430"/>
      <c r="I430"/>
      <c r="J430"/>
      <c r="K430"/>
    </row>
    <row r="431" spans="1:11" x14ac:dyDescent="0.2">
      <c r="B431"/>
      <c r="C431"/>
      <c r="D431"/>
      <c r="E431"/>
      <c r="F431"/>
      <c r="G431"/>
      <c r="H431"/>
      <c r="I431"/>
      <c r="J431"/>
      <c r="K431"/>
    </row>
    <row r="432" spans="1:11" x14ac:dyDescent="0.2">
      <c r="B432"/>
      <c r="C432"/>
      <c r="D432"/>
      <c r="E432"/>
      <c r="F432"/>
      <c r="G432"/>
      <c r="H432"/>
      <c r="I432"/>
      <c r="J432"/>
      <c r="K432"/>
    </row>
    <row r="433" spans="2:11" x14ac:dyDescent="0.2">
      <c r="B433"/>
      <c r="C433"/>
      <c r="D433"/>
      <c r="E433"/>
      <c r="F433"/>
      <c r="G433"/>
      <c r="H433"/>
      <c r="I433"/>
      <c r="J433"/>
      <c r="K433"/>
    </row>
    <row r="434" spans="2:11" x14ac:dyDescent="0.2">
      <c r="B434"/>
      <c r="C434"/>
      <c r="D434"/>
      <c r="E434"/>
      <c r="F434"/>
      <c r="G434"/>
      <c r="H434"/>
      <c r="I434"/>
      <c r="J434"/>
      <c r="K434"/>
    </row>
    <row r="435" spans="2:11" x14ac:dyDescent="0.2">
      <c r="B435"/>
      <c r="C435"/>
      <c r="D435"/>
      <c r="E435"/>
      <c r="F435"/>
      <c r="G435"/>
      <c r="H435"/>
      <c r="I435"/>
      <c r="J435"/>
      <c r="K435"/>
    </row>
    <row r="436" spans="2:11" x14ac:dyDescent="0.2">
      <c r="B436"/>
      <c r="C436"/>
      <c r="D436"/>
      <c r="E436"/>
      <c r="F436"/>
      <c r="G436"/>
      <c r="H436"/>
      <c r="I436"/>
      <c r="J436"/>
      <c r="K436"/>
    </row>
    <row r="437" spans="2:11" x14ac:dyDescent="0.2">
      <c r="B437"/>
      <c r="C437"/>
      <c r="D437"/>
      <c r="E437"/>
      <c r="F437"/>
      <c r="G437"/>
      <c r="H437"/>
      <c r="I437"/>
      <c r="J437"/>
      <c r="K437"/>
    </row>
    <row r="438" spans="2:11" x14ac:dyDescent="0.2">
      <c r="B438"/>
      <c r="C438"/>
      <c r="D438"/>
      <c r="E438"/>
      <c r="F438"/>
      <c r="G438"/>
      <c r="H438"/>
      <c r="I438"/>
      <c r="J438"/>
      <c r="K438"/>
    </row>
    <row r="439" spans="2:11" x14ac:dyDescent="0.2">
      <c r="B439"/>
      <c r="C439"/>
      <c r="D439"/>
      <c r="E439"/>
      <c r="F439"/>
      <c r="G439"/>
      <c r="H439"/>
      <c r="I439"/>
      <c r="J439"/>
      <c r="K439"/>
    </row>
    <row r="440" spans="2:11" x14ac:dyDescent="0.2">
      <c r="B440"/>
      <c r="C440"/>
      <c r="D440"/>
      <c r="E440"/>
      <c r="F440"/>
      <c r="G440"/>
      <c r="H440"/>
      <c r="I440"/>
      <c r="J440"/>
      <c r="K440"/>
    </row>
    <row r="441" spans="2:11" x14ac:dyDescent="0.2">
      <c r="B441"/>
      <c r="C441"/>
      <c r="D441"/>
      <c r="E441"/>
      <c r="F441"/>
      <c r="G441"/>
      <c r="H441"/>
      <c r="I441"/>
      <c r="J441"/>
      <c r="K441"/>
    </row>
    <row r="442" spans="2:11" x14ac:dyDescent="0.2">
      <c r="B442"/>
      <c r="C442"/>
      <c r="D442"/>
      <c r="E442"/>
      <c r="F442"/>
      <c r="G442"/>
      <c r="H442"/>
      <c r="I442"/>
      <c r="J442"/>
      <c r="K442"/>
    </row>
    <row r="443" spans="2:11" x14ac:dyDescent="0.2">
      <c r="B443"/>
      <c r="C443"/>
      <c r="D443"/>
      <c r="E443"/>
      <c r="F443"/>
      <c r="G443"/>
      <c r="H443"/>
      <c r="I443"/>
      <c r="J443"/>
      <c r="K443"/>
    </row>
    <row r="444" spans="2:11" x14ac:dyDescent="0.2">
      <c r="B444"/>
      <c r="C444"/>
      <c r="D444"/>
      <c r="E444"/>
      <c r="F444"/>
      <c r="G444"/>
      <c r="H444"/>
      <c r="I444"/>
      <c r="J444"/>
      <c r="K444"/>
    </row>
    <row r="445" spans="2:11" x14ac:dyDescent="0.2">
      <c r="B445"/>
      <c r="C445"/>
      <c r="D445"/>
      <c r="E445"/>
      <c r="F445"/>
      <c r="G445"/>
      <c r="H445"/>
      <c r="I445"/>
      <c r="J445"/>
      <c r="K445"/>
    </row>
    <row r="446" spans="2:11" x14ac:dyDescent="0.2">
      <c r="B446"/>
      <c r="C446"/>
      <c r="D446"/>
      <c r="E446"/>
      <c r="F446"/>
      <c r="G446"/>
      <c r="H446"/>
      <c r="I446"/>
      <c r="J446"/>
      <c r="K446"/>
    </row>
    <row r="447" spans="2:11" x14ac:dyDescent="0.2">
      <c r="B447"/>
      <c r="C447"/>
      <c r="D447"/>
      <c r="E447"/>
      <c r="F447"/>
      <c r="G447"/>
      <c r="H447"/>
      <c r="I447"/>
      <c r="J447"/>
      <c r="K447"/>
    </row>
    <row r="448" spans="2:11" x14ac:dyDescent="0.2">
      <c r="B448"/>
      <c r="C448"/>
      <c r="D448"/>
      <c r="E448"/>
      <c r="F448"/>
      <c r="G448"/>
      <c r="H448"/>
      <c r="I448"/>
      <c r="J448"/>
      <c r="K448"/>
    </row>
    <row r="449" spans="2:11" x14ac:dyDescent="0.2">
      <c r="B449"/>
      <c r="C449"/>
      <c r="D449"/>
      <c r="E449"/>
      <c r="F449"/>
      <c r="G449"/>
      <c r="H449"/>
      <c r="I449"/>
      <c r="J449"/>
      <c r="K449"/>
    </row>
    <row r="450" spans="2:11" x14ac:dyDescent="0.2">
      <c r="B450"/>
      <c r="C450"/>
      <c r="D450"/>
      <c r="E450"/>
      <c r="F450"/>
      <c r="G450"/>
      <c r="H450"/>
      <c r="I450"/>
      <c r="J450"/>
      <c r="K450"/>
    </row>
    <row r="451" spans="2:11" x14ac:dyDescent="0.2">
      <c r="B451"/>
      <c r="C451"/>
      <c r="D451"/>
      <c r="E451"/>
      <c r="F451"/>
      <c r="G451"/>
      <c r="H451"/>
      <c r="I451"/>
      <c r="J451"/>
      <c r="K451"/>
    </row>
    <row r="452" spans="2:11" x14ac:dyDescent="0.2">
      <c r="B452"/>
      <c r="C452"/>
      <c r="D452"/>
      <c r="E452"/>
      <c r="F452"/>
      <c r="G452"/>
      <c r="H452"/>
      <c r="I452"/>
      <c r="J452"/>
      <c r="K452"/>
    </row>
    <row r="453" spans="2:11" x14ac:dyDescent="0.2">
      <c r="B453"/>
      <c r="C453"/>
      <c r="D453"/>
      <c r="E453"/>
      <c r="F453"/>
      <c r="G453"/>
      <c r="H453"/>
      <c r="I453"/>
      <c r="J453"/>
      <c r="K453"/>
    </row>
    <row r="454" spans="2:11" x14ac:dyDescent="0.2">
      <c r="B454"/>
      <c r="C454"/>
      <c r="D454"/>
      <c r="E454"/>
      <c r="F454"/>
      <c r="G454"/>
      <c r="H454"/>
      <c r="I454"/>
      <c r="J454"/>
      <c r="K454"/>
    </row>
    <row r="455" spans="2:11" x14ac:dyDescent="0.2">
      <c r="B455"/>
      <c r="C455"/>
      <c r="D455"/>
      <c r="E455"/>
      <c r="F455"/>
      <c r="G455"/>
      <c r="H455"/>
      <c r="I455"/>
      <c r="J455"/>
      <c r="K455"/>
    </row>
    <row r="456" spans="2:11" x14ac:dyDescent="0.2">
      <c r="B456"/>
      <c r="C456"/>
      <c r="D456"/>
      <c r="E456"/>
      <c r="F456"/>
      <c r="G456"/>
      <c r="H456"/>
      <c r="I456"/>
      <c r="J456"/>
      <c r="K456"/>
    </row>
    <row r="457" spans="2:11" x14ac:dyDescent="0.2">
      <c r="B457"/>
      <c r="C457"/>
      <c r="D457"/>
      <c r="E457"/>
      <c r="F457"/>
      <c r="G457"/>
      <c r="H457"/>
      <c r="I457"/>
      <c r="J457"/>
      <c r="K457"/>
    </row>
    <row r="458" spans="2:11" x14ac:dyDescent="0.2">
      <c r="B458"/>
      <c r="C458"/>
      <c r="D458"/>
      <c r="E458"/>
      <c r="F458"/>
      <c r="G458"/>
      <c r="H458"/>
      <c r="I458"/>
      <c r="J458"/>
      <c r="K458"/>
    </row>
    <row r="459" spans="2:11" x14ac:dyDescent="0.2">
      <c r="B459"/>
      <c r="C459"/>
      <c r="D459"/>
      <c r="E459"/>
      <c r="F459"/>
      <c r="G459"/>
      <c r="H459"/>
      <c r="I459"/>
      <c r="J459"/>
      <c r="K459"/>
    </row>
    <row r="460" spans="2:11" x14ac:dyDescent="0.2">
      <c r="B460"/>
      <c r="C460"/>
      <c r="D460"/>
      <c r="E460"/>
      <c r="F460"/>
      <c r="G460"/>
      <c r="H460"/>
      <c r="I460"/>
      <c r="J460"/>
      <c r="K460"/>
    </row>
    <row r="461" spans="2:11" x14ac:dyDescent="0.2">
      <c r="B461"/>
      <c r="C461"/>
      <c r="D461"/>
      <c r="E461"/>
      <c r="F461"/>
      <c r="G461"/>
      <c r="H461"/>
      <c r="I461"/>
      <c r="J461"/>
      <c r="K461"/>
    </row>
    <row r="462" spans="2:11" x14ac:dyDescent="0.2">
      <c r="B462"/>
      <c r="C462"/>
      <c r="D462"/>
      <c r="E462"/>
      <c r="F462"/>
      <c r="G462"/>
      <c r="H462"/>
      <c r="I462"/>
      <c r="J462"/>
      <c r="K462"/>
    </row>
    <row r="463" spans="2:11" x14ac:dyDescent="0.2">
      <c r="B463"/>
      <c r="C463"/>
      <c r="D463"/>
      <c r="E463"/>
      <c r="F463"/>
      <c r="G463"/>
      <c r="H463"/>
      <c r="I463"/>
      <c r="J463"/>
      <c r="K463"/>
    </row>
    <row r="464" spans="2:11" x14ac:dyDescent="0.2">
      <c r="B464"/>
      <c r="C464"/>
      <c r="D464"/>
      <c r="E464"/>
      <c r="F464"/>
      <c r="G464"/>
      <c r="H464"/>
      <c r="I464"/>
      <c r="J464"/>
      <c r="K464"/>
    </row>
    <row r="465" spans="2:11" x14ac:dyDescent="0.2">
      <c r="B465"/>
      <c r="C465"/>
      <c r="D465"/>
      <c r="E465"/>
      <c r="F465"/>
      <c r="G465"/>
      <c r="H465"/>
      <c r="I465"/>
      <c r="J465"/>
      <c r="K465"/>
    </row>
    <row r="466" spans="2:11" x14ac:dyDescent="0.2">
      <c r="B466"/>
      <c r="C466"/>
      <c r="D466"/>
      <c r="E466"/>
      <c r="F466"/>
      <c r="G466"/>
      <c r="H466"/>
      <c r="I466"/>
      <c r="J466"/>
      <c r="K466"/>
    </row>
    <row r="467" spans="2:11" x14ac:dyDescent="0.2">
      <c r="B467"/>
      <c r="C467"/>
      <c r="D467"/>
      <c r="E467"/>
      <c r="F467"/>
      <c r="G467"/>
      <c r="H467"/>
      <c r="I467"/>
      <c r="J467"/>
      <c r="K467"/>
    </row>
    <row r="468" spans="2:11" x14ac:dyDescent="0.2">
      <c r="B468"/>
      <c r="C468"/>
      <c r="D468"/>
      <c r="E468"/>
      <c r="F468"/>
      <c r="G468"/>
      <c r="H468"/>
      <c r="I468"/>
      <c r="J468"/>
      <c r="K468"/>
    </row>
    <row r="469" spans="2:11" x14ac:dyDescent="0.2">
      <c r="B469"/>
      <c r="C469"/>
      <c r="D469"/>
      <c r="E469"/>
      <c r="F469"/>
      <c r="G469"/>
      <c r="H469"/>
      <c r="I469"/>
      <c r="J469"/>
      <c r="K469"/>
    </row>
    <row r="470" spans="2:11" x14ac:dyDescent="0.2">
      <c r="B470"/>
      <c r="C470"/>
      <c r="D470"/>
      <c r="E470"/>
      <c r="F470"/>
      <c r="G470"/>
      <c r="H470"/>
      <c r="I470"/>
      <c r="J470"/>
      <c r="K470"/>
    </row>
    <row r="471" spans="2:11" x14ac:dyDescent="0.2">
      <c r="B471"/>
      <c r="C471"/>
      <c r="D471"/>
      <c r="E471"/>
      <c r="F471"/>
      <c r="G471"/>
      <c r="H471"/>
      <c r="I471"/>
      <c r="J471"/>
      <c r="K471"/>
    </row>
    <row r="472" spans="2:11" x14ac:dyDescent="0.2">
      <c r="B472"/>
      <c r="C472"/>
      <c r="D472"/>
      <c r="E472"/>
      <c r="F472"/>
      <c r="G472"/>
      <c r="H472"/>
      <c r="I472"/>
      <c r="J472"/>
      <c r="K472"/>
    </row>
    <row r="473" spans="2:11" x14ac:dyDescent="0.2">
      <c r="B473"/>
      <c r="C473"/>
      <c r="D473"/>
      <c r="E473"/>
      <c r="F473"/>
      <c r="G473"/>
      <c r="H473"/>
      <c r="I473"/>
      <c r="J473"/>
      <c r="K473"/>
    </row>
    <row r="474" spans="2:11" x14ac:dyDescent="0.2">
      <c r="B474"/>
      <c r="C474"/>
      <c r="D474"/>
      <c r="E474"/>
      <c r="F474"/>
      <c r="G474"/>
      <c r="H474"/>
      <c r="I474"/>
      <c r="J474"/>
      <c r="K474"/>
    </row>
    <row r="475" spans="2:11" x14ac:dyDescent="0.2">
      <c r="B475"/>
      <c r="C475"/>
      <c r="D475"/>
      <c r="E475"/>
      <c r="F475"/>
      <c r="G475"/>
      <c r="H475"/>
      <c r="I475"/>
      <c r="J475"/>
      <c r="K475"/>
    </row>
    <row r="476" spans="2:11" x14ac:dyDescent="0.2">
      <c r="B476"/>
      <c r="C476"/>
      <c r="D476"/>
      <c r="E476"/>
      <c r="F476"/>
      <c r="G476"/>
      <c r="H476"/>
      <c r="I476"/>
      <c r="J476"/>
      <c r="K476"/>
    </row>
    <row r="477" spans="2:11" x14ac:dyDescent="0.2">
      <c r="B477"/>
      <c r="C477"/>
      <c r="D477"/>
      <c r="E477"/>
      <c r="F477"/>
      <c r="G477"/>
      <c r="H477"/>
      <c r="I477"/>
      <c r="J477"/>
      <c r="K477"/>
    </row>
    <row r="478" spans="2:11" x14ac:dyDescent="0.2">
      <c r="B478"/>
      <c r="C478"/>
      <c r="D478"/>
      <c r="E478"/>
      <c r="F478"/>
      <c r="G478"/>
      <c r="H478"/>
      <c r="I478"/>
      <c r="J478"/>
      <c r="K478"/>
    </row>
    <row r="479" spans="2:11" x14ac:dyDescent="0.2">
      <c r="B479"/>
      <c r="C479"/>
      <c r="D479"/>
      <c r="E479"/>
      <c r="F479"/>
      <c r="G479"/>
      <c r="H479"/>
      <c r="I479"/>
      <c r="J479"/>
      <c r="K479"/>
    </row>
    <row r="480" spans="2:11" x14ac:dyDescent="0.2">
      <c r="B480"/>
      <c r="C480"/>
      <c r="D480"/>
      <c r="E480"/>
      <c r="F480"/>
      <c r="G480"/>
      <c r="H480"/>
      <c r="I480"/>
      <c r="J480"/>
      <c r="K480"/>
    </row>
    <row r="481" spans="2:11" x14ac:dyDescent="0.2">
      <c r="B481"/>
      <c r="C481"/>
      <c r="D481"/>
      <c r="E481"/>
      <c r="F481"/>
      <c r="G481"/>
      <c r="H481"/>
      <c r="I481"/>
      <c r="J481"/>
      <c r="K481"/>
    </row>
    <row r="482" spans="2:11" x14ac:dyDescent="0.2">
      <c r="B482"/>
      <c r="C482"/>
      <c r="D482"/>
      <c r="E482"/>
      <c r="F482"/>
      <c r="G482"/>
      <c r="H482"/>
      <c r="I482"/>
      <c r="J482"/>
      <c r="K482"/>
    </row>
    <row r="483" spans="2:11" x14ac:dyDescent="0.2">
      <c r="B483"/>
      <c r="C483"/>
      <c r="D483"/>
      <c r="E483"/>
      <c r="F483"/>
      <c r="G483"/>
      <c r="H483"/>
      <c r="I483"/>
      <c r="J483"/>
      <c r="K483"/>
    </row>
    <row r="484" spans="2:11" x14ac:dyDescent="0.2">
      <c r="B484"/>
      <c r="C484"/>
      <c r="D484"/>
      <c r="E484"/>
      <c r="F484"/>
      <c r="G484"/>
      <c r="H484"/>
      <c r="I484"/>
      <c r="J484"/>
      <c r="K484"/>
    </row>
    <row r="485" spans="2:11" x14ac:dyDescent="0.2">
      <c r="B485"/>
      <c r="C485"/>
      <c r="D485"/>
      <c r="E485"/>
      <c r="F485"/>
      <c r="G485"/>
      <c r="H485"/>
      <c r="I485"/>
      <c r="J485"/>
      <c r="K485"/>
    </row>
    <row r="486" spans="2:11" x14ac:dyDescent="0.2">
      <c r="B486"/>
      <c r="C486"/>
      <c r="D486"/>
      <c r="E486"/>
      <c r="F486"/>
      <c r="G486"/>
      <c r="H486"/>
      <c r="I486"/>
      <c r="J486"/>
      <c r="K486"/>
    </row>
    <row r="487" spans="2:11" x14ac:dyDescent="0.2">
      <c r="B487"/>
      <c r="C487"/>
      <c r="D487"/>
      <c r="E487"/>
      <c r="F487"/>
      <c r="G487"/>
      <c r="H487"/>
      <c r="I487"/>
      <c r="J487"/>
      <c r="K487"/>
    </row>
    <row r="488" spans="2:11" x14ac:dyDescent="0.2">
      <c r="B488"/>
      <c r="C488"/>
      <c r="D488"/>
      <c r="E488"/>
      <c r="F488"/>
      <c r="G488"/>
      <c r="H488"/>
      <c r="I488"/>
      <c r="J488"/>
      <c r="K488"/>
    </row>
    <row r="489" spans="2:11" x14ac:dyDescent="0.2">
      <c r="B489"/>
      <c r="C489"/>
      <c r="D489"/>
      <c r="E489"/>
      <c r="F489"/>
      <c r="G489"/>
      <c r="H489"/>
      <c r="I489"/>
      <c r="J489"/>
      <c r="K489"/>
    </row>
    <row r="490" spans="2:11" x14ac:dyDescent="0.2">
      <c r="B490"/>
      <c r="C490"/>
      <c r="D490"/>
      <c r="E490"/>
      <c r="F490"/>
      <c r="G490"/>
      <c r="H490"/>
      <c r="I490"/>
      <c r="J490"/>
      <c r="K490"/>
    </row>
    <row r="491" spans="2:11" x14ac:dyDescent="0.2">
      <c r="B491"/>
      <c r="C491"/>
      <c r="D491"/>
      <c r="E491"/>
      <c r="F491"/>
      <c r="G491"/>
      <c r="H491"/>
      <c r="I491"/>
      <c r="J491"/>
      <c r="K491"/>
    </row>
    <row r="492" spans="2:11" x14ac:dyDescent="0.2">
      <c r="B492"/>
      <c r="C492"/>
      <c r="D492"/>
      <c r="E492"/>
      <c r="F492"/>
      <c r="G492"/>
      <c r="H492"/>
      <c r="I492"/>
      <c r="J492"/>
      <c r="K492"/>
    </row>
    <row r="493" spans="2:11" x14ac:dyDescent="0.2">
      <c r="B493"/>
      <c r="C493"/>
      <c r="D493"/>
      <c r="E493"/>
      <c r="F493"/>
      <c r="G493"/>
      <c r="H493"/>
      <c r="I493"/>
      <c r="J493"/>
      <c r="K493"/>
    </row>
    <row r="494" spans="2:11" x14ac:dyDescent="0.2">
      <c r="B494"/>
      <c r="C494"/>
      <c r="D494"/>
      <c r="E494"/>
      <c r="F494"/>
      <c r="G494"/>
      <c r="H494"/>
      <c r="I494"/>
      <c r="J494"/>
      <c r="K494"/>
    </row>
    <row r="495" spans="2:11" x14ac:dyDescent="0.2">
      <c r="B495"/>
      <c r="C495"/>
      <c r="D495"/>
      <c r="E495"/>
      <c r="F495"/>
      <c r="G495"/>
      <c r="H495"/>
      <c r="I495"/>
      <c r="J495"/>
      <c r="K495"/>
    </row>
    <row r="496" spans="2:11" x14ac:dyDescent="0.2">
      <c r="B496"/>
      <c r="C496"/>
      <c r="D496"/>
      <c r="E496"/>
      <c r="F496"/>
      <c r="G496"/>
      <c r="H496"/>
      <c r="I496"/>
      <c r="J496"/>
      <c r="K496"/>
    </row>
    <row r="497" spans="2:11" x14ac:dyDescent="0.2">
      <c r="B497"/>
      <c r="C497"/>
      <c r="D497"/>
      <c r="E497"/>
      <c r="F497"/>
      <c r="G497"/>
      <c r="H497"/>
      <c r="I497"/>
      <c r="J497"/>
      <c r="K497"/>
    </row>
    <row r="498" spans="2:11" x14ac:dyDescent="0.2">
      <c r="B498"/>
      <c r="C498"/>
      <c r="D498"/>
      <c r="E498"/>
      <c r="F498"/>
      <c r="G498"/>
      <c r="H498"/>
      <c r="I498"/>
      <c r="J498"/>
      <c r="K498"/>
    </row>
    <row r="499" spans="2:11" x14ac:dyDescent="0.2">
      <c r="B499"/>
      <c r="C499"/>
      <c r="D499"/>
      <c r="E499"/>
      <c r="F499"/>
      <c r="G499"/>
      <c r="H499"/>
      <c r="I499"/>
      <c r="J499"/>
      <c r="K499"/>
    </row>
    <row r="500" spans="2:11" x14ac:dyDescent="0.2">
      <c r="B500"/>
      <c r="C500"/>
      <c r="D500"/>
      <c r="E500"/>
      <c r="F500"/>
      <c r="G500"/>
      <c r="H500"/>
      <c r="I500"/>
      <c r="J500"/>
      <c r="K500"/>
    </row>
    <row r="501" spans="2:11" x14ac:dyDescent="0.2">
      <c r="B501"/>
      <c r="C501"/>
      <c r="D501"/>
      <c r="E501"/>
      <c r="F501"/>
      <c r="G501"/>
      <c r="H501"/>
      <c r="I501"/>
      <c r="J501"/>
      <c r="K501"/>
    </row>
    <row r="502" spans="2:11" x14ac:dyDescent="0.2">
      <c r="B502"/>
      <c r="C502"/>
      <c r="D502"/>
      <c r="E502"/>
      <c r="F502"/>
      <c r="G502"/>
      <c r="H502"/>
      <c r="I502"/>
      <c r="J502"/>
      <c r="K502"/>
    </row>
    <row r="503" spans="2:11" x14ac:dyDescent="0.2">
      <c r="B503"/>
      <c r="C503"/>
      <c r="D503"/>
      <c r="E503"/>
      <c r="F503"/>
      <c r="G503"/>
      <c r="H503"/>
      <c r="I503"/>
      <c r="J503"/>
      <c r="K503"/>
    </row>
    <row r="504" spans="2:11" x14ac:dyDescent="0.2">
      <c r="B504"/>
      <c r="C504"/>
      <c r="D504"/>
      <c r="E504"/>
      <c r="F504"/>
      <c r="G504"/>
      <c r="H504"/>
      <c r="I504"/>
      <c r="J504"/>
      <c r="K504"/>
    </row>
    <row r="505" spans="2:11" x14ac:dyDescent="0.2">
      <c r="B505"/>
      <c r="C505"/>
      <c r="D505"/>
      <c r="E505"/>
      <c r="F505"/>
      <c r="G505"/>
      <c r="H505"/>
      <c r="I505"/>
      <c r="J505"/>
      <c r="K505"/>
    </row>
    <row r="506" spans="2:11" x14ac:dyDescent="0.2">
      <c r="B506"/>
      <c r="C506"/>
      <c r="D506"/>
      <c r="E506"/>
      <c r="F506"/>
      <c r="G506"/>
      <c r="H506"/>
      <c r="I506"/>
      <c r="J506"/>
      <c r="K506"/>
    </row>
    <row r="507" spans="2:11" x14ac:dyDescent="0.2">
      <c r="B507"/>
      <c r="C507"/>
      <c r="D507"/>
      <c r="E507"/>
      <c r="F507"/>
      <c r="G507"/>
      <c r="H507"/>
      <c r="I507"/>
      <c r="J507"/>
      <c r="K507"/>
    </row>
    <row r="508" spans="2:11" x14ac:dyDescent="0.2">
      <c r="B508"/>
      <c r="C508"/>
      <c r="D508"/>
      <c r="E508"/>
      <c r="F508"/>
      <c r="G508"/>
      <c r="H508"/>
      <c r="I508"/>
      <c r="J508"/>
      <c r="K508"/>
    </row>
    <row r="509" spans="2:11" x14ac:dyDescent="0.2">
      <c r="B509"/>
      <c r="C509"/>
      <c r="D509"/>
      <c r="E509"/>
      <c r="F509"/>
      <c r="G509"/>
      <c r="H509"/>
      <c r="I509"/>
      <c r="J509"/>
      <c r="K509"/>
    </row>
    <row r="510" spans="2:11" x14ac:dyDescent="0.2">
      <c r="B510"/>
      <c r="C510"/>
      <c r="D510"/>
      <c r="E510"/>
      <c r="F510"/>
      <c r="G510"/>
      <c r="H510"/>
      <c r="I510"/>
      <c r="J510"/>
      <c r="K510"/>
    </row>
    <row r="511" spans="2:11" x14ac:dyDescent="0.2">
      <c r="B511"/>
      <c r="C511"/>
      <c r="D511"/>
      <c r="E511"/>
      <c r="F511"/>
      <c r="G511"/>
      <c r="H511"/>
      <c r="I511"/>
      <c r="J511"/>
      <c r="K511"/>
    </row>
    <row r="512" spans="2:11" x14ac:dyDescent="0.2">
      <c r="B512"/>
      <c r="C512"/>
      <c r="D512"/>
      <c r="E512"/>
      <c r="F512"/>
      <c r="G512"/>
      <c r="H512"/>
      <c r="I512"/>
      <c r="J512"/>
      <c r="K512"/>
    </row>
    <row r="513" spans="2:11" x14ac:dyDescent="0.2">
      <c r="B513"/>
      <c r="C513"/>
      <c r="D513"/>
      <c r="E513"/>
      <c r="F513"/>
      <c r="G513"/>
      <c r="H513"/>
      <c r="I513"/>
      <c r="J513"/>
      <c r="K513"/>
    </row>
    <row r="514" spans="2:11" x14ac:dyDescent="0.2">
      <c r="B514"/>
      <c r="C514"/>
      <c r="D514"/>
      <c r="E514"/>
      <c r="F514"/>
      <c r="G514"/>
      <c r="H514"/>
      <c r="I514"/>
      <c r="J514"/>
      <c r="K514"/>
    </row>
    <row r="515" spans="2:11" x14ac:dyDescent="0.2">
      <c r="B515"/>
      <c r="C515"/>
      <c r="D515"/>
      <c r="E515"/>
      <c r="F515"/>
      <c r="G515"/>
      <c r="H515"/>
      <c r="I515"/>
      <c r="J515"/>
      <c r="K515"/>
    </row>
    <row r="516" spans="2:11" x14ac:dyDescent="0.2">
      <c r="B516"/>
      <c r="C516"/>
      <c r="D516"/>
      <c r="E516"/>
      <c r="F516"/>
      <c r="G516"/>
      <c r="H516"/>
      <c r="I516"/>
      <c r="J516"/>
      <c r="K516"/>
    </row>
    <row r="517" spans="2:11" x14ac:dyDescent="0.2">
      <c r="B517"/>
      <c r="C517"/>
      <c r="D517"/>
      <c r="E517"/>
      <c r="F517"/>
      <c r="G517"/>
      <c r="H517"/>
      <c r="I517"/>
      <c r="J517"/>
      <c r="K517"/>
    </row>
    <row r="518" spans="2:11" x14ac:dyDescent="0.2">
      <c r="B518"/>
      <c r="C518"/>
      <c r="D518"/>
      <c r="E518"/>
      <c r="F518"/>
      <c r="G518"/>
      <c r="H518"/>
      <c r="I518"/>
      <c r="J518"/>
      <c r="K518"/>
    </row>
    <row r="519" spans="2:11" x14ac:dyDescent="0.2">
      <c r="B519"/>
      <c r="C519"/>
      <c r="D519"/>
      <c r="E519"/>
      <c r="F519"/>
      <c r="G519"/>
      <c r="H519"/>
      <c r="I519"/>
      <c r="J519"/>
      <c r="K519"/>
    </row>
    <row r="520" spans="2:11" x14ac:dyDescent="0.2">
      <c r="B520"/>
      <c r="C520"/>
      <c r="D520"/>
      <c r="E520"/>
      <c r="F520"/>
      <c r="G520"/>
      <c r="H520"/>
      <c r="I520"/>
      <c r="J520"/>
      <c r="K520"/>
    </row>
    <row r="521" spans="2:11" x14ac:dyDescent="0.2">
      <c r="B521"/>
      <c r="C521"/>
      <c r="D521"/>
      <c r="E521"/>
      <c r="F521"/>
      <c r="G521"/>
      <c r="H521"/>
      <c r="I521"/>
      <c r="J521"/>
      <c r="K521"/>
    </row>
    <row r="522" spans="2:11" x14ac:dyDescent="0.2">
      <c r="B522"/>
      <c r="C522"/>
      <c r="D522"/>
      <c r="E522"/>
      <c r="F522"/>
      <c r="G522"/>
      <c r="H522"/>
      <c r="I522"/>
      <c r="J522"/>
      <c r="K522"/>
    </row>
    <row r="523" spans="2:11" x14ac:dyDescent="0.2">
      <c r="B523"/>
      <c r="C523"/>
      <c r="D523"/>
      <c r="E523"/>
      <c r="F523"/>
      <c r="G523"/>
      <c r="H523"/>
      <c r="I523"/>
      <c r="J523"/>
      <c r="K523"/>
    </row>
    <row r="524" spans="2:11" x14ac:dyDescent="0.2">
      <c r="B524"/>
      <c r="C524"/>
      <c r="D524"/>
      <c r="E524"/>
      <c r="F524"/>
      <c r="G524"/>
      <c r="H524"/>
      <c r="I524"/>
      <c r="J524"/>
      <c r="K524"/>
    </row>
    <row r="525" spans="2:11" x14ac:dyDescent="0.2">
      <c r="B525"/>
      <c r="C525"/>
      <c r="D525"/>
      <c r="E525"/>
      <c r="F525"/>
      <c r="G525"/>
      <c r="H525"/>
      <c r="I525"/>
      <c r="J525"/>
      <c r="K525"/>
    </row>
    <row r="526" spans="2:11" x14ac:dyDescent="0.2">
      <c r="B526"/>
      <c r="C526"/>
      <c r="D526"/>
      <c r="E526"/>
      <c r="F526"/>
      <c r="G526"/>
      <c r="H526"/>
      <c r="I526"/>
      <c r="J526"/>
      <c r="K526"/>
    </row>
    <row r="527" spans="2:11" x14ac:dyDescent="0.2">
      <c r="B527"/>
      <c r="C527"/>
      <c r="D527"/>
      <c r="E527"/>
      <c r="F527"/>
      <c r="G527"/>
      <c r="H527"/>
      <c r="I527"/>
      <c r="J527"/>
      <c r="K527"/>
    </row>
    <row r="528" spans="2:11" x14ac:dyDescent="0.2">
      <c r="B528"/>
      <c r="C528"/>
      <c r="D528"/>
      <c r="E528"/>
      <c r="F528"/>
      <c r="G528"/>
      <c r="H528"/>
      <c r="I528"/>
      <c r="J528"/>
      <c r="K528"/>
    </row>
    <row r="529" spans="2:11" x14ac:dyDescent="0.2">
      <c r="B529"/>
      <c r="C529"/>
      <c r="D529"/>
      <c r="E529"/>
      <c r="F529"/>
      <c r="G529"/>
      <c r="H529"/>
      <c r="I529"/>
      <c r="J529"/>
      <c r="K529"/>
    </row>
    <row r="530" spans="2:11" x14ac:dyDescent="0.2">
      <c r="B530"/>
      <c r="C530"/>
      <c r="D530"/>
      <c r="E530"/>
      <c r="F530"/>
      <c r="G530"/>
      <c r="H530"/>
      <c r="I530"/>
      <c r="J530"/>
      <c r="K530"/>
    </row>
    <row r="531" spans="2:11" x14ac:dyDescent="0.2">
      <c r="B531"/>
      <c r="C531"/>
      <c r="D531"/>
      <c r="E531"/>
      <c r="F531"/>
      <c r="G531"/>
      <c r="H531"/>
      <c r="I531"/>
      <c r="J531"/>
      <c r="K531"/>
    </row>
    <row r="532" spans="2:11" x14ac:dyDescent="0.2">
      <c r="B532"/>
      <c r="C532"/>
      <c r="D532"/>
      <c r="E532"/>
      <c r="F532"/>
      <c r="G532"/>
      <c r="H532"/>
      <c r="I532"/>
      <c r="J532"/>
      <c r="K532"/>
    </row>
    <row r="533" spans="2:11" x14ac:dyDescent="0.2">
      <c r="B533"/>
      <c r="C533"/>
      <c r="D533"/>
      <c r="E533"/>
      <c r="F533"/>
      <c r="G533"/>
      <c r="H533"/>
      <c r="I533"/>
      <c r="J533"/>
      <c r="K533"/>
    </row>
    <row r="534" spans="2:11" x14ac:dyDescent="0.2">
      <c r="B534"/>
      <c r="C534"/>
      <c r="D534"/>
      <c r="E534"/>
      <c r="F534"/>
      <c r="G534"/>
      <c r="H534"/>
      <c r="I534"/>
      <c r="J534"/>
      <c r="K534"/>
    </row>
    <row r="535" spans="2:11" x14ac:dyDescent="0.2">
      <c r="B535"/>
      <c r="C535"/>
      <c r="D535"/>
      <c r="E535"/>
      <c r="F535"/>
      <c r="G535"/>
      <c r="H535"/>
      <c r="I535"/>
      <c r="J535"/>
      <c r="K535"/>
    </row>
    <row r="536" spans="2:11" x14ac:dyDescent="0.2">
      <c r="B536"/>
      <c r="C536"/>
      <c r="D536"/>
      <c r="E536"/>
      <c r="F536"/>
      <c r="G536"/>
      <c r="H536"/>
      <c r="I536"/>
      <c r="J536"/>
      <c r="K536"/>
    </row>
    <row r="537" spans="2:11" x14ac:dyDescent="0.2">
      <c r="B537"/>
      <c r="C537"/>
      <c r="D537"/>
      <c r="E537"/>
      <c r="F537"/>
      <c r="G537"/>
      <c r="H537"/>
      <c r="I537"/>
      <c r="J537"/>
      <c r="K537"/>
    </row>
    <row r="538" spans="2:11" x14ac:dyDescent="0.2">
      <c r="B538"/>
      <c r="C538"/>
      <c r="D538"/>
      <c r="E538"/>
      <c r="F538"/>
      <c r="G538"/>
      <c r="H538"/>
      <c r="I538"/>
      <c r="J538"/>
      <c r="K538"/>
    </row>
    <row r="539" spans="2:11" x14ac:dyDescent="0.2">
      <c r="B539"/>
      <c r="C539"/>
      <c r="D539"/>
      <c r="E539"/>
      <c r="F539"/>
      <c r="G539"/>
      <c r="H539"/>
      <c r="I539"/>
      <c r="J539"/>
      <c r="K539"/>
    </row>
    <row r="540" spans="2:11" x14ac:dyDescent="0.2">
      <c r="B540"/>
      <c r="C540"/>
      <c r="D540"/>
      <c r="E540"/>
      <c r="F540"/>
      <c r="G540"/>
      <c r="H540"/>
      <c r="I540"/>
      <c r="J540"/>
      <c r="K540"/>
    </row>
    <row r="541" spans="2:11" x14ac:dyDescent="0.2">
      <c r="B541"/>
      <c r="C541"/>
      <c r="D541"/>
      <c r="E541"/>
      <c r="F541"/>
      <c r="G541"/>
      <c r="H541"/>
      <c r="I541"/>
      <c r="J541"/>
      <c r="K541"/>
    </row>
    <row r="542" spans="2:11" x14ac:dyDescent="0.2">
      <c r="B542"/>
      <c r="C542"/>
      <c r="D542"/>
      <c r="E542"/>
      <c r="F542"/>
      <c r="G542"/>
      <c r="H542"/>
      <c r="I542"/>
      <c r="J542"/>
      <c r="K542"/>
    </row>
    <row r="543" spans="2:11" x14ac:dyDescent="0.2">
      <c r="B543"/>
      <c r="C543"/>
      <c r="D543"/>
      <c r="E543"/>
      <c r="F543"/>
      <c r="G543"/>
      <c r="H543"/>
      <c r="I543"/>
      <c r="J543"/>
      <c r="K543"/>
    </row>
    <row r="544" spans="2:11" x14ac:dyDescent="0.2">
      <c r="B544"/>
      <c r="C544"/>
      <c r="D544"/>
      <c r="E544"/>
      <c r="F544"/>
      <c r="G544"/>
      <c r="H544"/>
      <c r="I544"/>
      <c r="J544"/>
      <c r="K544"/>
    </row>
    <row r="545" spans="2:11" x14ac:dyDescent="0.2">
      <c r="B545"/>
      <c r="C545"/>
      <c r="D545"/>
      <c r="E545"/>
      <c r="F545"/>
      <c r="G545"/>
      <c r="H545"/>
      <c r="I545"/>
      <c r="J545"/>
      <c r="K545"/>
    </row>
    <row r="546" spans="2:11" x14ac:dyDescent="0.2">
      <c r="B546"/>
      <c r="C546"/>
      <c r="D546"/>
      <c r="E546"/>
      <c r="F546"/>
      <c r="G546"/>
      <c r="H546"/>
      <c r="I546"/>
      <c r="J546"/>
      <c r="K546"/>
    </row>
    <row r="547" spans="2:11" x14ac:dyDescent="0.2">
      <c r="B547"/>
      <c r="C547"/>
      <c r="D547"/>
      <c r="E547"/>
      <c r="F547"/>
      <c r="G547"/>
      <c r="H547"/>
      <c r="I547"/>
      <c r="J547"/>
      <c r="K547"/>
    </row>
    <row r="548" spans="2:11" x14ac:dyDescent="0.2">
      <c r="B548"/>
      <c r="C548"/>
      <c r="D548"/>
      <c r="E548"/>
      <c r="F548"/>
      <c r="G548"/>
      <c r="H548"/>
      <c r="I548"/>
      <c r="J548"/>
      <c r="K548"/>
    </row>
    <row r="549" spans="2:11" x14ac:dyDescent="0.2">
      <c r="B549"/>
      <c r="C549"/>
      <c r="D549"/>
      <c r="E549"/>
      <c r="F549"/>
      <c r="G549"/>
      <c r="H549"/>
      <c r="I549"/>
      <c r="J549"/>
      <c r="K549"/>
    </row>
    <row r="550" spans="2:11" x14ac:dyDescent="0.2">
      <c r="B550"/>
      <c r="C550"/>
      <c r="D550"/>
      <c r="E550"/>
      <c r="F550"/>
      <c r="G550"/>
      <c r="H550"/>
      <c r="I550"/>
      <c r="J550"/>
      <c r="K550"/>
    </row>
    <row r="551" spans="2:11" x14ac:dyDescent="0.2">
      <c r="B551"/>
      <c r="C551"/>
      <c r="D551"/>
      <c r="E551"/>
      <c r="F551"/>
      <c r="G551"/>
      <c r="H551"/>
      <c r="I551"/>
      <c r="J551"/>
      <c r="K551"/>
    </row>
    <row r="552" spans="2:11" x14ac:dyDescent="0.2">
      <c r="B552"/>
      <c r="C552"/>
      <c r="D552"/>
      <c r="E552"/>
      <c r="F552"/>
      <c r="G552"/>
      <c r="H552"/>
      <c r="I552"/>
      <c r="J552"/>
      <c r="K552"/>
    </row>
    <row r="553" spans="2:11" x14ac:dyDescent="0.2">
      <c r="B553"/>
      <c r="C553"/>
      <c r="D553"/>
      <c r="E553"/>
      <c r="F553"/>
      <c r="G553"/>
      <c r="H553"/>
      <c r="I553"/>
      <c r="J553"/>
      <c r="K553"/>
    </row>
    <row r="554" spans="2:11" x14ac:dyDescent="0.2">
      <c r="B554"/>
      <c r="C554"/>
      <c r="D554"/>
      <c r="E554"/>
      <c r="F554"/>
      <c r="G554"/>
      <c r="H554"/>
      <c r="I554"/>
      <c r="J554"/>
      <c r="K554"/>
    </row>
    <row r="555" spans="2:11" x14ac:dyDescent="0.2">
      <c r="B555"/>
      <c r="C555"/>
      <c r="D555"/>
      <c r="E555"/>
      <c r="F555"/>
      <c r="G555"/>
      <c r="H555"/>
      <c r="I555"/>
      <c r="J555"/>
      <c r="K555"/>
    </row>
    <row r="556" spans="2:11" x14ac:dyDescent="0.2">
      <c r="B556"/>
      <c r="C556"/>
      <c r="D556"/>
      <c r="E556"/>
      <c r="F556"/>
      <c r="G556"/>
      <c r="H556"/>
      <c r="I556"/>
      <c r="J556"/>
      <c r="K556"/>
    </row>
    <row r="557" spans="2:11" x14ac:dyDescent="0.2">
      <c r="B557"/>
      <c r="C557"/>
      <c r="D557"/>
      <c r="E557"/>
      <c r="F557"/>
      <c r="G557"/>
      <c r="H557"/>
      <c r="I557"/>
      <c r="J557"/>
      <c r="K557"/>
    </row>
    <row r="558" spans="2:11" x14ac:dyDescent="0.2">
      <c r="B558"/>
      <c r="C558"/>
      <c r="D558"/>
      <c r="E558"/>
      <c r="F558"/>
      <c r="G558"/>
      <c r="H558"/>
      <c r="I558"/>
      <c r="J558"/>
      <c r="K558"/>
    </row>
    <row r="559" spans="2:11" x14ac:dyDescent="0.2">
      <c r="B559"/>
      <c r="C559"/>
      <c r="D559"/>
      <c r="E559"/>
      <c r="F559"/>
      <c r="G559"/>
      <c r="H559"/>
      <c r="I559"/>
      <c r="J559"/>
      <c r="K559"/>
    </row>
    <row r="560" spans="2:11" x14ac:dyDescent="0.2">
      <c r="B560"/>
      <c r="C560"/>
      <c r="D560"/>
      <c r="E560"/>
      <c r="F560"/>
      <c r="G560"/>
      <c r="H560"/>
      <c r="I560"/>
      <c r="J560"/>
      <c r="K560"/>
    </row>
    <row r="561" spans="2:11" x14ac:dyDescent="0.2">
      <c r="B561"/>
      <c r="C561"/>
      <c r="D561"/>
      <c r="E561"/>
      <c r="F561"/>
      <c r="G561"/>
      <c r="H561"/>
      <c r="I561"/>
      <c r="J561"/>
      <c r="K561"/>
    </row>
    <row r="562" spans="2:11" x14ac:dyDescent="0.2">
      <c r="B562"/>
      <c r="C562"/>
      <c r="D562"/>
      <c r="E562"/>
      <c r="F562"/>
      <c r="G562"/>
      <c r="H562"/>
      <c r="I562"/>
      <c r="J562"/>
      <c r="K562"/>
    </row>
    <row r="563" spans="2:11" x14ac:dyDescent="0.2">
      <c r="B563"/>
      <c r="C563"/>
      <c r="D563"/>
      <c r="E563"/>
      <c r="F563"/>
      <c r="G563"/>
      <c r="H563"/>
      <c r="I563"/>
      <c r="J563"/>
      <c r="K563"/>
    </row>
    <row r="564" spans="2:11" x14ac:dyDescent="0.2">
      <c r="B564"/>
      <c r="C564"/>
      <c r="D564"/>
      <c r="E564"/>
      <c r="F564"/>
      <c r="G564"/>
      <c r="H564"/>
      <c r="I564"/>
      <c r="J564"/>
      <c r="K564"/>
    </row>
    <row r="565" spans="2:11" x14ac:dyDescent="0.2">
      <c r="B565"/>
      <c r="C565"/>
      <c r="D565"/>
      <c r="E565"/>
      <c r="F565"/>
      <c r="G565"/>
      <c r="H565"/>
      <c r="I565"/>
      <c r="J565"/>
      <c r="K565"/>
    </row>
    <row r="566" spans="2:11" x14ac:dyDescent="0.2">
      <c r="B566"/>
      <c r="C566"/>
      <c r="D566"/>
      <c r="E566"/>
      <c r="F566"/>
      <c r="G566"/>
      <c r="H566"/>
      <c r="I566"/>
      <c r="J566"/>
      <c r="K566"/>
    </row>
    <row r="567" spans="2:11" x14ac:dyDescent="0.2">
      <c r="B567"/>
      <c r="C567"/>
      <c r="D567"/>
      <c r="E567"/>
      <c r="F567"/>
      <c r="G567"/>
      <c r="H567"/>
      <c r="I567"/>
      <c r="J567"/>
      <c r="K567"/>
    </row>
    <row r="568" spans="2:11" x14ac:dyDescent="0.2">
      <c r="B568"/>
      <c r="C568"/>
      <c r="D568"/>
      <c r="E568"/>
      <c r="F568"/>
      <c r="G568"/>
      <c r="H568"/>
      <c r="I568"/>
      <c r="J568"/>
      <c r="K568"/>
    </row>
    <row r="569" spans="2:11" x14ac:dyDescent="0.2">
      <c r="B569"/>
      <c r="C569"/>
      <c r="D569"/>
      <c r="E569"/>
      <c r="F569"/>
      <c r="G569"/>
      <c r="H569"/>
      <c r="I569"/>
      <c r="J569"/>
      <c r="K569"/>
    </row>
    <row r="570" spans="2:11" x14ac:dyDescent="0.2">
      <c r="B570"/>
      <c r="C570"/>
      <c r="D570"/>
      <c r="E570"/>
      <c r="F570"/>
      <c r="G570"/>
      <c r="H570"/>
      <c r="I570"/>
      <c r="J570"/>
      <c r="K570"/>
    </row>
    <row r="571" spans="2:11" x14ac:dyDescent="0.2">
      <c r="B571"/>
      <c r="C571"/>
      <c r="D571"/>
      <c r="E571"/>
      <c r="F571"/>
      <c r="G571"/>
      <c r="H571"/>
      <c r="I571"/>
      <c r="J571"/>
      <c r="K571"/>
    </row>
    <row r="572" spans="2:11" x14ac:dyDescent="0.2">
      <c r="B572"/>
      <c r="C572"/>
      <c r="D572"/>
      <c r="E572"/>
      <c r="F572"/>
      <c r="G572"/>
      <c r="H572"/>
      <c r="I572"/>
      <c r="J572"/>
      <c r="K572"/>
    </row>
  </sheetData>
  <mergeCells count="30">
    <mergeCell ref="P3:Q3"/>
    <mergeCell ref="P14:Q14"/>
    <mergeCell ref="P25:Q25"/>
    <mergeCell ref="P39:Q39"/>
    <mergeCell ref="S3:T3"/>
    <mergeCell ref="S14:T14"/>
    <mergeCell ref="S25:T25"/>
    <mergeCell ref="S33:T33"/>
    <mergeCell ref="S38:T38"/>
    <mergeCell ref="G1:L1"/>
    <mergeCell ref="G4:G14"/>
    <mergeCell ref="A1:E1"/>
    <mergeCell ref="E4:E11"/>
    <mergeCell ref="E12:E18"/>
    <mergeCell ref="E38:E42"/>
    <mergeCell ref="S43:T43"/>
    <mergeCell ref="A4:A11"/>
    <mergeCell ref="C4:C11"/>
    <mergeCell ref="D4:D11"/>
    <mergeCell ref="A12:A18"/>
    <mergeCell ref="C12:C18"/>
    <mergeCell ref="D12:D18"/>
    <mergeCell ref="A24:A34"/>
    <mergeCell ref="C24:C34"/>
    <mergeCell ref="A35:A36"/>
    <mergeCell ref="A38:A42"/>
    <mergeCell ref="C38:C42"/>
    <mergeCell ref="D38:D42"/>
    <mergeCell ref="D24:D34"/>
    <mergeCell ref="E24:E34"/>
  </mergeCells>
  <phoneticPr fontId="16" type="noConversion"/>
  <pageMargins left="0.7" right="0.7" top="0.78740157499999996" bottom="0.78740157499999996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39CE74E004C47A638E9976CD55731" ma:contentTypeVersion="16" ma:contentTypeDescription="Create a new document." ma:contentTypeScope="" ma:versionID="69e59ec6183882626e341f656a387b36">
  <xsd:schema xmlns:xsd="http://www.w3.org/2001/XMLSchema" xmlns:xs="http://www.w3.org/2001/XMLSchema" xmlns:p="http://schemas.microsoft.com/office/2006/metadata/properties" xmlns:ns2="697d7ec9-b914-4a5f-b2e8-e3b6aee39113" xmlns:ns3="118aab52-c14d-48bf-8b94-2cb21354b704" targetNamespace="http://schemas.microsoft.com/office/2006/metadata/properties" ma:root="true" ma:fieldsID="29f2ebccc4d9ae00e1882dae2e59a252" ns2:_="" ns3:_="">
    <xsd:import namespace="697d7ec9-b914-4a5f-b2e8-e3b6aee39113"/>
    <xsd:import namespace="118aab52-c14d-48bf-8b94-2cb21354b7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d7ec9-b914-4a5f-b2e8-e3b6aee391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7e4a1be-55e7-4b98-b4f8-6a35430286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aab52-c14d-48bf-8b94-2cb21354b70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6bea35b-7158-4ec3-9fe8-fb4b99417be5}" ma:internalName="TaxCatchAll" ma:showField="CatchAllData" ma:web="118aab52-c14d-48bf-8b94-2cb21354b7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7d7ec9-b914-4a5f-b2e8-e3b6aee39113">
      <Terms xmlns="http://schemas.microsoft.com/office/infopath/2007/PartnerControls"/>
    </lcf76f155ced4ddcb4097134ff3c332f>
    <TaxCatchAll xmlns="118aab52-c14d-48bf-8b94-2cb21354b704" xsi:nil="true"/>
  </documentManagement>
</p:properties>
</file>

<file path=customXml/itemProps1.xml><?xml version="1.0" encoding="utf-8"?>
<ds:datastoreItem xmlns:ds="http://schemas.openxmlformats.org/officeDocument/2006/customXml" ds:itemID="{3E8E3204-F517-4930-92E8-C53B600F71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66CD5-D803-44E0-B3F2-43B8B1240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7d7ec9-b914-4a5f-b2e8-e3b6aee39113"/>
    <ds:schemaRef ds:uri="118aab52-c14d-48bf-8b94-2cb21354b7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4A4F27-089D-49E4-818B-0224A8F1E137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697d7ec9-b914-4a5f-b2e8-e3b6aee39113"/>
    <ds:schemaRef ds:uri="http://purl.org/dc/terms/"/>
    <ds:schemaRef ds:uri="http://schemas.microsoft.com/office/2006/documentManagement/types"/>
    <ds:schemaRef ds:uri="118aab52-c14d-48bf-8b94-2cb21354b704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d2da482-854d-467a-a6c5-a56a9c91be6d}" enabled="0" method="" siteId="{ed2da482-854d-467a-a6c5-a56a9c91be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Diverses</vt:lpstr>
      <vt:lpstr>beck-online Module</vt:lpstr>
      <vt:lpstr>Clustering 2025</vt:lpstr>
      <vt:lpstr>Modul-Strukturierung</vt:lpstr>
    </vt:vector>
  </TitlesOfParts>
  <Manager/>
  <Company>Verlag C.H.Beck oHG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Wasmund, René</dc:creator>
  <cp:keywords/>
  <dc:description/>
  <cp:lastModifiedBy>Konrad Krahl</cp:lastModifiedBy>
  <cp:revision/>
  <dcterms:created xsi:type="dcterms:W3CDTF">2026-02-24T15:07:53Z</dcterms:created>
  <dcterms:modified xsi:type="dcterms:W3CDTF">2026-06-23T09:55:28Z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0x0101009F439CE74E004C47A638E9976CD55731</vt:lpwstr>
  </property>
  <property fmtid="{D5CDD505-2E9C-101B-9397-08002B2CF9AE}" pid="3" name="MediaServiceImageTags">
    <vt:lpwstr/>
  </property>
</Properties>
</file>